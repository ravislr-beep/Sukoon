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Guide" sheetId="2" state="visible" r:id="rId2"/>
    <sheet name="1 Setup" sheetId="3" state="visible" r:id="rId3"/>
    <sheet name="2 Kafka Clusters" sheetId="4" state="visible" r:id="rId4"/>
    <sheet name="3 Kafka Demand" sheetId="5" state="visible" r:id="rId5"/>
    <sheet name="4 Search Services" sheetId="6" state="visible" r:id="rId6"/>
    <sheet name="5 Search Demand" sheetId="7" state="visible" r:id="rId7"/>
    <sheet name="6 Kafka Sizing" sheetId="8" state="visible" r:id="rId8"/>
    <sheet name="7 Search Sizing" sheetId="9" state="visible" r:id="rId9"/>
    <sheet name="8 Confluent Request" sheetId="10" state="visible" r:id="rId10"/>
    <sheet name="9 Search Request" sheetId="11" state="visible" r:id="rId11"/>
    <sheet name="10 Checks" sheetId="12" state="visible" r:id="rId12"/>
    <sheet name="Ref_Data" sheetId="13" state="visible" r:id="rId13"/>
    <sheet name="References" sheetId="14" state="visible" r:id="rId14"/>
    <sheet name="Change Log" sheetId="15" state="visible" r:id="rId15"/>
  </sheets>
  <definedNames>
    <definedName name="ENV_CODE">'1 Setup'!$B$14:$B$21</definedName>
    <definedName name="ENV_LANDSCAPE">'1 Setup'!$D$14:$D$21</definedName>
    <definedName name="ENV_SCOPE">'1 Setup'!$E$14:$E$21</definedName>
    <definedName name="ENV_KAFKA">'1 Setup'!$F$14:$F$21</definedName>
    <definedName name="ENV_SEARCH">'1 Setup'!$G$14:$G$21</definedName>
    <definedName name="KD_ENV">'3 Kafka Demand'!$A$7:$A$14</definedName>
    <definedName name="KD_CLUSTER">'3 Kafka Demand'!$B$7:$B$14</definedName>
    <definedName name="KD_LAND">'3 Kafka Demand'!$C$7:$C$14</definedName>
    <definedName name="KD_RANK">'3 Kafka Demand'!$D$7:$D$14</definedName>
    <definedName name="KD_STATUS">'3 Kafka Demand'!$E$7:$E$14</definedName>
    <definedName name="KD_MPARTS">'3 Kafka Demand'!$F$7:$F$14</definedName>
    <definedName name="KD_QPS">'3 Kafka Demand'!$G$7:$G$14</definedName>
    <definedName name="KD_TOPICS">'3 Kafka Demand'!$H$7:$H$14</definedName>
    <definedName name="KD_PPT">'3 Kafka Demand'!$I$7:$I$14</definedName>
    <definedName name="KD_PARTS">'3 Kafka Demand'!$J$7:$J$14</definedName>
    <definedName name="KD_COMPACT">'3 Kafka Demand'!$K$7:$K$14</definedName>
    <definedName name="KD_MSGS">'3 Kafka Demand'!$L$7:$L$14</definedName>
    <definedName name="KD_BYTES">'3 Kafka Demand'!$M$7:$M$14</definedName>
    <definedName name="KD_MIN">'3 Kafka Demand'!$N$7:$N$14</definedName>
    <definedName name="KD_IN">'3 Kafka Demand'!$O$7:$O$14</definedName>
    <definedName name="KD_FAN">'3 Kafka Demand'!$P$7:$P$14</definedName>
    <definedName name="KD_MOUT">'3 Kafka Demand'!$Q$7:$Q$14</definedName>
    <definedName name="KD_OUT">'3 Kafka Demand'!$R$7:$R$14</definedName>
    <definedName name="KD_DAY">'3 Kafka Demand'!$S$7:$S$14</definedName>
    <definedName name="KD_MGIB">'3 Kafka Demand'!$T$7:$T$14</definedName>
    <definedName name="KD_GIB">'3 Kafka Demand'!$U$7:$U$14</definedName>
    <definedName name="KD_GIBR">'3 Kafka Demand'!$V$7:$V$14</definedName>
    <definedName name="KD_RET">'3 Kafka Demand'!$W$7:$W$14</definedName>
    <definedName name="KD_COMP">'3 Kafka Demand'!$X$7:$X$14</definedName>
    <definedName name="KD_STORE">'3 Kafka Demand'!$Y$7:$Y$14</definedName>
    <definedName name="KD_CONN">'3 Kafka Demand'!$Z$7:$Z$14</definedName>
    <definedName name="KD_REQ">'3 Kafka Demand'!$AA$7:$AA$14</definedName>
    <definedName name="KD_MSGMAX">'3 Kafka Demand'!$AB$7:$AB$14</definedName>
    <definedName name="KD_NOTES">'3 Kafka Demand'!$AC$7:$AC$14</definedName>
    <definedName name="SD_ENV">'5 Search Demand'!$A$7:$A$14</definedName>
    <definedName name="SD_SVC">'5 Search Demand'!$B$7:$B$14</definedName>
    <definedName name="SD_LAND">'5 Search Demand'!$C$7:$C$14</definedName>
    <definedName name="SD_RANK">'5 Search Demand'!$D$7:$D$14</definedName>
    <definedName name="SD_STATUS">'5 Search Demand'!$E$7:$E$14</definedName>
    <definedName name="SD_GB">'5 Search Demand'!$F$7:$F$14</definedName>
    <definedName name="SD_DOCS">'5 Search Demand'!$G$7:$G$14</definedName>
    <definedName name="SD_IDX">'5 Search Demand'!$H$7:$H$14</definedName>
    <definedName name="SD_PRI">'5 Search Demand'!$I$7:$I$14</definedName>
    <definedName name="SD_GROW">'5 Search Demand'!$J$7:$J$14</definedName>
    <definedName name="SD_YRS">'5 Search Demand'!$K$7:$K$14</definedName>
    <definedName name="SD_TMP">'5 Search Demand'!$L$7:$L$14</definedName>
    <definedName name="SD_FGB">'5 Search Demand'!$M$7:$M$14</definedName>
    <definedName name="SD_FDOCS">'5 Search Demand'!$N$7:$N$14</definedName>
    <definedName name="SD_PRIM">'5 Search Demand'!$O$7:$O$14</definedName>
    <definedName name="SD_NOTES">'5 Search Demand'!$P$7:$P$14</definedName>
    <definedName name="KS_CHECKS">'6 Kafka Sizing'!$F$106:$K$120</definedName>
    <definedName name="SZ_CHECKS">'7 Search Sizing'!$F$80:$K$92</definedName>
    <definedName name="P_KAFKA_PARTS">'Ref_Data'!$D$5</definedName>
    <definedName name="P_KAFKA_DEV_N">'Ref_Data'!$D$6</definedName>
    <definedName name="P_KAFKA_DEV_CPU">'Ref_Data'!$D$7</definedName>
    <definedName name="P_KAFKA_DEV_RAM">'Ref_Data'!$D$8</definedName>
    <definedName name="P_KAFKA_DEV_DISK">'Ref_Data'!$D$9</definedName>
    <definedName name="P_KAFKA_PRD_N">'Ref_Data'!$D$10</definedName>
    <definedName name="P_KAFKA_PRD_CPU">'Ref_Data'!$D$11</definedName>
    <definedName name="P_KAFKA_PRD_RAM">'Ref_Data'!$D$12</definedName>
    <definedName name="P_KAFKA_PRD_DISK">'Ref_Data'!$D$13</definedName>
    <definedName name="P_MSG_MAX">'Ref_Data'!$D$14</definedName>
    <definedName name="P_REPL_FETCH">'Ref_Data'!$D$15</definedName>
    <definedName name="P_QP_PARTS">'Ref_Data'!$D$16</definedName>
    <definedName name="P_TOPIC_PARTS">'Ref_Data'!$D$17</definedName>
    <definedName name="P_FREE_DISK">'Ref_Data'!$D$18</definedName>
    <definedName name="P_CPU_ACT">'Ref_Data'!$D$19</definedName>
    <definedName name="P_HELM_RF">'Ref_Data'!$D$20</definedName>
    <definedName name="P_SEARCH_HA">'Ref_Data'!$D$21</definedName>
    <definedName name="P_SEARCH_LARGE_GB">'Ref_Data'!$D$22</definedName>
    <definedName name="P_SEARCH_LARGE_DOCS">'Ref_Data'!$D$23</definedName>
    <definedName name="CF_RF">'Ref_Data'!$D$24</definedName>
    <definedName name="CF_MSG_DEFAULT">'Ref_Data'!$D$25</definedName>
    <definedName name="CF_RETENTION_H">'Ref_Data'!$D$26</definedName>
    <definedName name="CF_STORAGE_X">'Ref_Data'!$D$27</definedName>
    <definedName name="CF_ENT_FAST">'Ref_Data'!$D$28</definedName>
    <definedName name="CF_ENT_SCALE_MIN">'Ref_Data'!$D$29</definedName>
    <definedName name="CF_DED_CARD">'Ref_Data'!$D$30</definedName>
    <definedName name="CF_DED_INVOICE">'Ref_Data'!$D$31</definedName>
    <definedName name="CF_DED_AZURE">'Ref_Data'!$D$32</definedName>
    <definedName name="O_SHARDS_NODE">'Ref_Data'!$D$33</definedName>
    <definedName name="O_WM_LOW">'Ref_Data'!$D$34</definedName>
    <definedName name="O_WM_HIGH">'Ref_Data'!$D$35</definedName>
    <definedName name="O_HEAP">'Ref_Data'!$D$36</definedName>
    <definedName name="O_MANAGERS">'Ref_Data'!$D$37</definedName>
    <definedName name="A_INDEX_OVH">'Ref_Data'!$D$38</definedName>
    <definedName name="A_LINUX">'Ref_Data'!$D$39</definedName>
    <definedName name="A_SVC_OVH">'Ref_Data'!$D$40</definedName>
    <definedName name="A_SIMPLE">'Ref_Data'!$D$41</definedName>
    <definedName name="A_SHARDS_HEAP">'Ref_Data'!$D$42</definedName>
    <definedName name="A_SHARD_MIN">'Ref_Data'!$D$43</definedName>
    <definedName name="A_SHARD_MAX">'Ref_Data'!$D$44</definedName>
    <definedName name="A_VCPU_100">'Ref_Data'!$D$45</definedName>
    <definedName name="A_RAM_100">'Ref_Data'!$D$46</definedName>
    <definedName name="W_BYTES_MB">'Ref_Data'!$D$47</definedName>
    <definedName name="W_BYTES_GIB">'Ref_Data'!$D$48</definedName>
    <definedName name="W_HOURS">'Ref_Data'!$D$49</definedName>
    <definedName name="CF_TYPES">'Ref_Data'!$A$53:$A$56</definedName>
    <definedName name="CF_IN">'Ref_Data'!$B$53:$B$56</definedName>
    <definedName name="CF_OUT">'Ref_Data'!$C$53:$C$56</definedName>
    <definedName name="CF_PART">'Ref_Data'!$D$53:$D$56</definedName>
    <definedName name="CF_COMPACT">'Ref_Data'!$E$53:$E$56</definedName>
    <definedName name="CF_CONN">'Ref_Data'!$F$53:$F$56</definedName>
    <definedName name="CF_REQ">'Ref_Data'!$G$53:$G$56</definedName>
    <definedName name="CF_MAXU">'Ref_Data'!$H$53:$H$56</definedName>
    <definedName name="CF_MSGMAX">'Ref_Data'!$I$53:$I$56</definedName>
    <definedName name="CF_PARTOPS">'Ref_Data'!$J$53:$J$56</definedName>
    <definedName name="PS_KEY">'Ref_Data'!$A$62:$A$79</definedName>
    <definedName name="PS_N">'Ref_Data'!$B$62:$B$79</definedName>
    <definedName name="PS_CPU">'Ref_Data'!$C$62:$C$79</definedName>
    <definedName name="PS_RAM">'Ref_Data'!$D$62:$D$79</definedName>
    <definedName name="PS_DISK">'Ref_Data'!$E$62:$E$79</definedName>
    <definedName name="PM_CPU">'Ref_Data'!$A$85:$A$89</definedName>
    <definedName name="PM_RAM">'Ref_Data'!$B$85:$B$89</definedName>
    <definedName name="PM_MAX">'Ref_Data'!$C$85:$C$89</definedName>
    <definedName name="LANDSCAPES">'Ref_Data'!$A$94:$A$97</definedName>
    <definedName name="KAFKA_IDS">'Ref_Data'!$B$94:$B$99</definedName>
    <definedName name="SEARCH_IDS">'Ref_Data'!$C$94:$C$99</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17">
    <font>
      <name val="Calibri"/>
      <family val="2"/>
      <color theme="1"/>
      <sz val="11"/>
      <scheme val="minor"/>
    </font>
    <font>
      <name val="Calibri"/>
      <b val="1"/>
      <color rgb="001F3864"/>
      <sz val="16"/>
    </font>
    <font>
      <name val="Calibri"/>
      <i val="1"/>
      <color rgb="00404040"/>
      <sz val="11"/>
    </font>
    <font>
      <name val="Calibri"/>
      <b val="1"/>
      <sz val="10"/>
    </font>
    <font>
      <name val="Calibri"/>
      <sz val="10"/>
    </font>
    <font>
      <name val="Calibri"/>
      <b val="1"/>
      <color rgb="00FFFFFF"/>
      <sz val="10"/>
    </font>
    <font>
      <name val="Calibri"/>
      <b val="1"/>
      <color rgb="001F3864"/>
      <sz val="10"/>
    </font>
    <font>
      <name val="Calibri"/>
      <b val="1"/>
      <color rgb="00006100"/>
      <sz val="10"/>
    </font>
    <font>
      <name val="Calibri"/>
      <b val="1"/>
      <color rgb="001F3864"/>
      <sz val="11"/>
    </font>
    <font>
      <name val="Calibri"/>
      <color rgb="000563C1"/>
      <sz val="10"/>
      <u val="single"/>
    </font>
    <font>
      <name val="Calibri"/>
      <b val="1"/>
      <color rgb="00595959"/>
      <sz val="12"/>
    </font>
    <font>
      <name val="Calibri"/>
      <b val="1"/>
      <color rgb="001F3864"/>
      <sz val="22"/>
    </font>
    <font>
      <name val="Calibri"/>
      <sz val="11"/>
    </font>
    <font>
      <name val="Calibri"/>
      <b val="1"/>
      <color rgb="009C0006"/>
      <sz val="12"/>
    </font>
    <font>
      <name val="Calibri"/>
      <b val="1"/>
      <color rgb="001F3864"/>
      <sz val="13"/>
    </font>
    <font>
      <name val="Calibri"/>
      <i val="1"/>
      <color rgb="00404040"/>
      <sz val="10"/>
    </font>
    <font>
      <name val="Calibri"/>
      <b val="1"/>
      <color rgb="001F3864"/>
      <sz val="12"/>
    </font>
  </fonts>
  <fills count="11">
    <fill>
      <patternFill/>
    </fill>
    <fill>
      <patternFill patternType="gray125"/>
    </fill>
    <fill>
      <patternFill patternType="solid">
        <fgColor rgb="00FFFFFF"/>
      </patternFill>
    </fill>
    <fill>
      <patternFill patternType="solid">
        <fgColor rgb="00FFF2CC"/>
      </patternFill>
    </fill>
    <fill>
      <patternFill patternType="solid">
        <fgColor rgb="001F3864"/>
      </patternFill>
    </fill>
    <fill>
      <patternFill patternType="solid">
        <fgColor rgb="00F2F2F2"/>
      </patternFill>
    </fill>
    <fill>
      <patternFill patternType="solid">
        <fgColor rgb="00D9E1F2"/>
      </patternFill>
    </fill>
    <fill>
      <patternFill patternType="solid">
        <fgColor rgb="00C6EFCE"/>
      </patternFill>
    </fill>
    <fill>
      <patternFill patternType="solid">
        <fgColor rgb="00DDEBF7"/>
      </patternFill>
    </fill>
    <fill>
      <patternFill patternType="solid">
        <fgColor rgb="00FFEB9C"/>
      </patternFill>
    </fill>
    <fill>
      <patternFill patternType="solid">
        <fgColor rgb="00FFC7CE"/>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9">
    <xf numFmtId="0" fontId="0" fillId="0" borderId="0" pivotButton="0" quotePrefix="0" xfId="0"/>
    <xf numFmtId="0" fontId="10" fillId="0" borderId="0" pivotButton="0" quotePrefix="0" xfId="0"/>
    <xf numFmtId="0" fontId="11" fillId="0" borderId="0" pivotButton="0" quotePrefix="0" xfId="0"/>
    <xf numFmtId="0" fontId="12" fillId="0" borderId="0" applyAlignment="1" pivotButton="0" quotePrefix="0" xfId="0">
      <alignment vertical="top" wrapText="1"/>
    </xf>
    <xf numFmtId="0" fontId="13" fillId="0" borderId="0" pivotButton="0" quotePrefix="0" xfId="0"/>
    <xf numFmtId="0" fontId="3" fillId="0" borderId="0" pivotButton="0" quotePrefix="0" xfId="0"/>
    <xf numFmtId="0" fontId="4" fillId="0" borderId="0" pivotButton="0" quotePrefix="0" xfId="0"/>
    <xf numFmtId="0" fontId="14" fillId="0" borderId="0" pivotButton="0" quotePrefix="0" xfId="0"/>
    <xf numFmtId="0" fontId="5" fillId="2" borderId="1" applyAlignment="1" pivotButton="0" quotePrefix="0" xfId="0">
      <alignment horizontal="center" vertical="top" wrapText="1"/>
    </xf>
    <xf numFmtId="0" fontId="5" fillId="4" borderId="1" applyAlignment="1" pivotButton="0" quotePrefix="0" xfId="0">
      <alignment horizontal="center" vertical="top" wrapText="1"/>
    </xf>
    <xf numFmtId="0" fontId="0" fillId="2" borderId="0" pivotButton="0" quotePrefix="0" xfId="0"/>
    <xf numFmtId="0" fontId="4" fillId="5" borderId="1" applyAlignment="1" pivotButton="0" quotePrefix="0" xfId="0">
      <alignment horizontal="center" vertical="top" wrapText="1"/>
    </xf>
    <xf numFmtId="0" fontId="7" fillId="7" borderId="1" applyAlignment="1" pivotButton="0" quotePrefix="0" xfId="0">
      <alignment horizontal="center" vertical="top" wrapText="1"/>
    </xf>
    <xf numFmtId="0" fontId="4" fillId="3" borderId="1" applyAlignment="1" applyProtection="1" pivotButton="0" quotePrefix="0" xfId="0">
      <alignment vertical="top" wrapText="1"/>
      <protection locked="0" hidden="0"/>
    </xf>
    <xf numFmtId="0" fontId="4" fillId="5" borderId="1" applyAlignment="1" pivotButton="0" quotePrefix="0" xfId="0">
      <alignment vertical="top" wrapText="1"/>
    </xf>
    <xf numFmtId="0" fontId="7" fillId="7"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xf numFmtId="0" fontId="4" fillId="10" borderId="1" applyAlignment="1" pivotButton="0" quotePrefix="0" xfId="0">
      <alignment vertical="top" wrapText="1"/>
    </xf>
    <xf numFmtId="0" fontId="9" fillId="0" borderId="0" pivotButton="0" quotePrefix="0" xfId="0"/>
    <xf numFmtId="0" fontId="15" fillId="0" borderId="0" applyAlignment="1" pivotButton="0" quotePrefix="0" xfId="0">
      <alignment vertical="top" wrapText="1"/>
    </xf>
    <xf numFmtId="0" fontId="1" fillId="0" borderId="0" pivotButton="0" quotePrefix="0" xfId="0"/>
    <xf numFmtId="0" fontId="2" fillId="0" borderId="0" pivotButton="0" quotePrefix="0" xfId="0"/>
    <xf numFmtId="0" fontId="0" fillId="0" borderId="4" pivotButton="0" quotePrefix="0" xfId="0"/>
    <xf numFmtId="0" fontId="0" fillId="0" borderId="5" pivotButton="0" quotePrefix="0" xfId="0"/>
    <xf numFmtId="0" fontId="4" fillId="2" borderId="1" applyAlignment="1" pivotButton="0" quotePrefix="0" xfId="0">
      <alignment horizontal="center" vertical="top" wrapText="1"/>
    </xf>
    <xf numFmtId="0" fontId="3" fillId="2" borderId="1" applyAlignment="1" pivotButton="0" quotePrefix="0" xfId="0">
      <alignment vertical="top" wrapText="1"/>
    </xf>
    <xf numFmtId="0" fontId="4" fillId="2" borderId="1" applyAlignment="1" pivotButton="0" quotePrefix="0" xfId="0">
      <alignment vertical="top" wrapText="1"/>
    </xf>
    <xf numFmtId="0" fontId="16" fillId="0" borderId="0" pivotButton="0" quotePrefix="0" xfId="0"/>
    <xf numFmtId="0" fontId="4" fillId="3" borderId="1" applyAlignment="1" applyProtection="1" pivotButton="0" quotePrefix="0" xfId="0">
      <alignment horizontal="center" vertical="top" wrapText="1"/>
      <protection locked="0" hidden="0"/>
    </xf>
    <xf numFmtId="0" fontId="2" fillId="0" borderId="0" applyAlignment="1" pivotButton="0" quotePrefix="0" xfId="0">
      <alignment vertical="top" wrapText="1"/>
    </xf>
    <xf numFmtId="0" fontId="6" fillId="6" borderId="1" pivotButton="0" quotePrefix="0" xfId="0"/>
    <xf numFmtId="0" fontId="0" fillId="6" borderId="1" pivotButton="0" quotePrefix="0" xfId="0"/>
    <xf numFmtId="9" fontId="4" fillId="3" borderId="1" applyAlignment="1" applyProtection="1" pivotButton="0" quotePrefix="0" xfId="0">
      <alignment horizontal="center" vertical="top" wrapText="1"/>
      <protection locked="0" hidden="0"/>
    </xf>
    <xf numFmtId="0" fontId="6" fillId="6" borderId="0" applyAlignment="1" pivotButton="0" quotePrefix="0" xfId="0">
      <alignment horizontal="center" vertical="top" wrapText="1"/>
    </xf>
    <xf numFmtId="1" fontId="4" fillId="5" borderId="1" applyAlignment="1" pivotButton="0" quotePrefix="0" xfId="0">
      <alignment horizontal="center" vertical="top" wrapText="1"/>
    </xf>
    <xf numFmtId="3" fontId="4" fillId="3" borderId="1" applyAlignment="1" applyProtection="1" pivotButton="0" quotePrefix="0" xfId="0">
      <alignment horizontal="center" vertical="top" wrapText="1"/>
      <protection locked="0" hidden="0"/>
    </xf>
    <xf numFmtId="1" fontId="4" fillId="3" borderId="1" applyAlignment="1" applyProtection="1" pivotButton="0" quotePrefix="0" xfId="0">
      <alignment horizontal="center" vertical="top" wrapText="1"/>
      <protection locked="0" hidden="0"/>
    </xf>
    <xf numFmtId="3" fontId="4" fillId="5" borderId="1" applyAlignment="1" pivotButton="0" quotePrefix="0" xfId="0">
      <alignment horizontal="center" vertical="top" wrapText="1"/>
    </xf>
    <xf numFmtId="2" fontId="4" fillId="3" borderId="1" applyAlignment="1" applyProtection="1" pivotButton="0" quotePrefix="0" xfId="0">
      <alignment horizontal="center" vertical="top" wrapText="1"/>
      <protection locked="0" hidden="0"/>
    </xf>
    <xf numFmtId="2" fontId="4" fillId="5" borderId="1" applyAlignment="1" pivotButton="0" quotePrefix="0" xfId="0">
      <alignment horizontal="center" vertical="top" wrapText="1"/>
    </xf>
    <xf numFmtId="164" fontId="4" fillId="3" borderId="1" applyAlignment="1" applyProtection="1" pivotButton="0" quotePrefix="0" xfId="0">
      <alignment horizontal="center" vertical="top" wrapText="1"/>
      <protection locked="0" hidden="0"/>
    </xf>
    <xf numFmtId="165" fontId="4" fillId="3" borderId="1" applyAlignment="1" applyProtection="1" pivotButton="0" quotePrefix="0" xfId="0">
      <alignment horizontal="center" vertical="top" wrapText="1"/>
      <protection locked="0" hidden="0"/>
    </xf>
    <xf numFmtId="165" fontId="4" fillId="5" borderId="1" applyAlignment="1" pivotButton="0" quotePrefix="0" xfId="0">
      <alignment horizontal="center" vertical="top" wrapText="1"/>
    </xf>
    <xf numFmtId="9" fontId="4" fillId="5" borderId="1" applyAlignment="1" pivotButton="0" quotePrefix="0" xfId="0">
      <alignment horizontal="center" vertical="top" wrapText="1"/>
    </xf>
    <xf numFmtId="10" fontId="4" fillId="5" borderId="1" applyAlignment="1" pivotButton="0" quotePrefix="0" xfId="0">
      <alignment horizontal="center" vertical="top" wrapText="1"/>
    </xf>
    <xf numFmtId="1" fontId="7" fillId="7" borderId="1" applyAlignment="1" pivotButton="0" quotePrefix="0" xfId="0">
      <alignment horizontal="center" vertical="top" wrapText="1"/>
    </xf>
    <xf numFmtId="3" fontId="7" fillId="7" borderId="1" applyAlignment="1" pivotButton="0" quotePrefix="0" xfId="0">
      <alignment horizontal="center" vertical="top" wrapText="1"/>
    </xf>
    <xf numFmtId="0" fontId="3" fillId="2" borderId="1" applyAlignment="1" pivotButton="0" quotePrefix="0" xfId="0">
      <alignment horizontal="center" vertical="top" wrapText="1"/>
    </xf>
    <xf numFmtId="0" fontId="4" fillId="7" borderId="1" applyAlignment="1" pivotButton="0" quotePrefix="0" xfId="0">
      <alignment vertical="top" wrapText="1"/>
    </xf>
    <xf numFmtId="164" fontId="4" fillId="5" borderId="1" applyAlignment="1" pivotButton="0" quotePrefix="0" xfId="0">
      <alignment horizontal="center" vertical="top" wrapText="1"/>
    </xf>
    <xf numFmtId="0" fontId="8" fillId="0" borderId="0" pivotButton="0" quotePrefix="0" xfId="0"/>
    <xf numFmtId="3" fontId="4" fillId="8" borderId="1" applyAlignment="1" pivotButton="0" quotePrefix="0" xfId="0">
      <alignment horizontal="center" vertical="top" wrapText="1"/>
    </xf>
    <xf numFmtId="0" fontId="4" fillId="8" borderId="1" applyAlignment="1" pivotButton="0" quotePrefix="0" xfId="0">
      <alignment horizontal="center" vertical="top" wrapText="1"/>
    </xf>
    <xf numFmtId="9" fontId="4" fillId="2" borderId="1" applyAlignment="1" pivotButton="0" quotePrefix="0" xfId="0">
      <alignment vertical="top" wrapText="1"/>
    </xf>
    <xf numFmtId="9" fontId="4" fillId="8" borderId="1" applyAlignment="1" pivotButton="0" quotePrefix="0" xfId="0">
      <alignment horizontal="center" vertical="top" wrapText="1"/>
    </xf>
    <xf numFmtId="9" fontId="4" fillId="2" borderId="1" applyAlignment="1" pivotButton="0" quotePrefix="0" xfId="0">
      <alignment horizontal="center" vertical="top" wrapText="1"/>
    </xf>
    <xf numFmtId="0" fontId="5" fillId="4" borderId="0" pivotButton="0" quotePrefix="0" xfId="0"/>
    <xf numFmtId="0" fontId="9" fillId="2" borderId="1" applyAlignment="1" pivotButton="0" quotePrefix="0" xfId="0">
      <alignment vertical="top" wrapText="1"/>
    </xf>
  </cellXfs>
  <cellStyles count="1">
    <cellStyle name="Normal" xfId="0" builtinId="0" hidden="0"/>
  </cellStyles>
  <dxfs count="4">
    <dxf>
      <font>
        <b val="1"/>
        <color rgb="009C0006"/>
      </font>
      <fill>
        <patternFill patternType="solid">
          <fgColor rgb="00FFC7CE"/>
        </patternFill>
      </fill>
    </dxf>
    <dxf>
      <font>
        <b val="1"/>
        <color rgb="009C5700"/>
      </font>
      <fill>
        <patternFill patternType="solid">
          <fgColor rgb="00FFEB9C"/>
        </patternFill>
      </fill>
    </dxf>
    <dxf>
      <font>
        <b val="1"/>
        <color rgb="00006100"/>
      </font>
      <fill>
        <patternFill patternType="solid">
          <fgColor rgb="00C6EFCE"/>
        </patternFill>
      </fill>
    </dxf>
    <dxf>
      <font>
        <color rgb="001F3864"/>
      </font>
      <fill>
        <patternFill patternType="solid">
          <fgColor rgb="00DDEB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Sizing workbook</author>
  </authors>
  <commentList>
    <comment ref="B4" authorId="0" shapeId="0">
      <text>
        <t>Customer or organisation name.</t>
      </text>
    </comment>
    <comment ref="B5" authorId="0" shapeId="0">
      <text>
        <t>Programme name.</t>
      </text>
    </comment>
    <comment ref="B6" authorId="0" shapeId="0">
      <text>
        <t>Name and role of the person who completed the inputs.</t>
      </text>
    </comment>
    <comment ref="B7" authorId="0" shapeId="0">
      <text>
        <t>Date the inputs were collected. Measured figures age quickly; record the date.</t>
      </text>
    </comment>
    <comment ref="B8" authorId="0" shapeId="0">
      <text>
        <t>Azure region for AKS, Confluent Cloud and the search service. Keep them in the same region.</t>
      </text>
    </comment>
    <comment ref="B9" authorId="0" shapeId="0">
      <text>
        <t>Fixed for this workbook. The references are for Pega '26.</t>
      </text>
    </comment>
    <comment ref="B10" authorId="0" shapeId="0">
      <text>
        <t>Where the measured inputs come from.</t>
      </text>
    </comment>
    <comment ref="B11" authorId="0" shapeId="0">
      <text>
        <t>Draft, For provider quote or Final.</t>
      </text>
    </comment>
    <comment ref="B13" authorId="0" shapeId="0">
      <text>
        <t>Short code used everywhere else in the workbook, for example PROD.</t>
      </text>
    </comment>
    <comment ref="D13" authorId="0" shapeId="0">
      <text>
        <t>Pega's sizing tables use Production, Stage, Testing and Development [P1][P2]. Production and Stage use the production rows of the Pega tables; Testing and Development use the development rows. Use Stage for a production-like test environment such as PERF or PREPROD.</t>
      </text>
    </comment>
    <comment ref="E13" authorId="0" shapeId="0">
      <text>
        <t>Only environments marked Yes are counted.</t>
      </text>
    </comment>
    <comment ref="F13" authorId="0" shapeId="0">
      <text>
        <t>Kafka cluster ID (K1 to K6). Several Pega environments can share a cluster; set a different stream.streamNamePattern prefix per environment [P7].</t>
      </text>
    </comment>
    <comment ref="G13" authorId="0" shapeId="0">
      <text>
        <t>Search service ID (S1 to S6). SRS can support more than one Pega deployment and isolates data with a unique CUSTOMER_DEPLOYMENT_ID. Do not share the service with non-Pega software [P2].</t>
      </text>
    </comment>
  </commentList>
</comments>
</file>

<file path=xl/comments/comment2.xml><?xml version="1.0" encoding="utf-8"?>
<comments xmlns="http://schemas.openxmlformats.org/spreadsheetml/2006/main">
  <authors>
    <author>Sizing workbook</author>
  </authors>
  <commentList>
    <comment ref="E4" authorId="0" shapeId="0">
      <text>
        <t>Source IDs. P = Pegasystems, C = Confluent, O = OpenSearch Project, A = AWS OpenSearch Service guidance, W = workbook rule. Full links are on the References sheet.</t>
      </text>
    </comment>
    <comment ref="B9" authorId="0" shapeId="0">
      <text>
        <t>Choose the availability the business needs for this cluster. The workbook adds the minimum units Confluent requires for that SLA.</t>
      </text>
    </comment>
    <comment ref="B16" authorId="0" shapeId="0">
      <text>
        <t>Enter the growth you expect over the life of this sizing, for example 20 % for new applications and case types.</t>
      </text>
    </comment>
    <comment ref="B17" authorId="0" shapeId="0">
      <text>
        <t>A lower value buys more headroom and more units. Do not set above 100 %.</t>
      </text>
    </comment>
  </commentList>
</comments>
</file>

<file path=xl/comments/comment3.xml><?xml version="1.0" encoding="utf-8"?>
<comments xmlns="http://schemas.openxmlformats.org/spreadsheetml/2006/main">
  <authors>
    <author>Sizing workbook</author>
  </authors>
  <commentList>
    <comment ref="B6" authorId="0" shapeId="0">
      <text>
        <t>Taken from the Setup sheet. Blank when the environment is out of scope.</t>
      </text>
    </comment>
    <comment ref="D6" authorId="0" shapeId="0">
      <text>
        <t>1 Development, 2 Testing, 3 Stage, 4 Production. Used to find the most demanding landscape on a cluster.</t>
      </text>
    </comment>
    <comment ref="E6" authorId="0" shapeId="0">
      <text>
        <t>Measured: taken from the running system. Estimated: worked out from design figures. Example: illustrative only, must be replaced before the provider quote.</t>
      </text>
    </comment>
    <comment ref="F6" authorId="0" shapeId="0">
      <text>
        <t>Total partitions of all Pega topics (leaders only, before replication). Take it from the Stream service landing page in Pega 8.8, or from the Confluent topic list after the first build in DEV. When filled in, this figure is used instead of the build-up to the right. A count taken on 8.8 does not include topics that Pega '25 and later add, for example messaging that moved from Hazelcast to Kafka [P8]; measure again in DEV on Pega '26.</t>
      </text>
    </comment>
    <comment ref="G6" authorId="0" shapeId="0">
      <text>
        <t>Number of queue processor rules, including Pega's own. Each gets a Kafka topic with six partitions by default [P3].</t>
      </text>
    </comment>
    <comment ref="H6" authorId="0" shapeId="0">
      <text>
        <t>Stream data sets and other Pega topics, such as the system pulse topic (6 partitions [P6]) and the messaging topics that replace Hazelcast from Pega '25 [P8].</t>
      </text>
    </comment>
    <comment ref="I6" authorId="0" shapeId="0">
      <text>
        <t>Default 6 from Pega 8.7 [P3][P4]. Change it only if the DSS prconfig/dsm/services/stream/pyTopicPartitionsCount/default is set to another value.</t>
      </text>
    </comment>
    <comment ref="J6" authorId="0" shapeId="0">
      <text>
        <t>Measured figure if given, otherwise (queue processors + other topics) x partitions per topic.</t>
      </text>
    </comment>
    <comment ref="K6" authorId="0" shapeId="0">
      <text>
        <t>Partitions of topics with cleanup.policy=compact, if any. Confluent limits these separately [C1]. Leave blank if none.</t>
      </text>
    </comment>
    <comment ref="L6" authorId="0" shapeId="0">
      <text>
        <t>Highest sustained rate across all Pega topics in the busiest hour.</t>
      </text>
    </comment>
    <comment ref="M6" authorId="0" shapeId="0">
      <text>
        <t>Average record size written.</t>
      </text>
    </comment>
    <comment ref="N6" authorId="0" shapeId="0">
      <text>
        <t>Optional. Confluent received bytes at peak. Overrides messages x size.</t>
      </text>
    </comment>
    <comment ref="O6" authorId="0" shapeId="0">
      <text>
        <t>Measured figure if given, otherwise messages per second x average size / 1,000,000.</t>
      </text>
    </comment>
    <comment ref="P6" authorId="0" shapeId="0">
      <text>
        <t>How many times each message is read. 1 when one consumer group reads each topic.</t>
      </text>
    </comment>
    <comment ref="Q6" authorId="0" shapeId="0">
      <text>
        <t>Optional. Confluent sent bytes at peak. Overrides write x fan-out.</t>
      </text>
    </comment>
    <comment ref="S6" authorId="0" shapeId="0">
      <text>
        <t>Total messages written in a day.</t>
      </text>
    </comment>
    <comment ref="T6" authorId="0" shapeId="0">
      <text>
        <t>Optional. Overrides messages x size.</t>
      </text>
    </comment>
    <comment ref="V6" authorId="0" shapeId="0">
      <text>
        <t>GiB written x fan-out, or x the measured read/write ratio when both peaks are measured.</t>
      </text>
    </comment>
    <comment ref="W6" authorId="0" shapeId="0">
      <text>
        <t>How long Kafka keeps messages. Confluent's topic default is 168 hours (retention.ms 604,800,000) [C3]. Pega does not publish a retention figure; this is a design input.</t>
      </text>
    </comment>
    <comment ref="X6" authorId="0" shapeId="0">
      <text>
        <t>Use 1 unless producer compression is set; Confluent keeps the producer's compression (compression.type = producer) [C3]. Pega notes compression.type can decrease disk space [P1].</t>
      </text>
    </comment>
    <comment ref="Y6" authorId="0" shapeId="0">
      <text>
        <t>GiB per day x retention days / compression ratio. Confluent replicates three times [C2].</t>
      </text>
    </comment>
    <comment ref="Z6" authorId="0" shapeId="0">
      <text>
        <t>Highest number of client connections from all Pega pods. Measure it in DEV from the Confluent cluster metrics. Pega publishes no figure, so leave blank rather than guess; the checks will show it as not assessed.</t>
      </text>
    </comment>
    <comment ref="AA6" authorId="0" shapeId="0">
      <text>
        <t>Highest Kafka requests per second from the Confluent cluster metrics. Pega publishes no figure.</t>
      </text>
    </comment>
    <comment ref="AB6" authorId="0" shapeId="0">
      <text>
        <t>Largest single record. Pega's default limit is 5,000,000 bytes [P1].</t>
      </text>
    </comment>
  </commentList>
</comments>
</file>

<file path=xl/comments/comment4.xml><?xml version="1.0" encoding="utf-8"?>
<comments xmlns="http://schemas.openxmlformats.org/spreadsheetml/2006/main">
  <authors>
    <author>Sizing workbook</author>
  </authors>
  <commentList>
    <comment ref="E4" authorId="0" shapeId="0">
      <text>
        <t>Source IDs. P = Pegasystems, C = Confluent, O = OpenSearch Project, A = AWS OpenSearch Service guidance, W = workbook rule. Full links are on the References sheet.</t>
      </text>
    </comment>
    <comment ref="B11" authorId="0" shapeId="0">
      <text>
        <t>SRS may set its own index settings. Confirm with GET _cat/indices after the first SRS build in DEV.</t>
      </text>
    </comment>
    <comment ref="B16" authorId="0" shapeId="0">
      <text>
        <t>Replace with a measured figure: compare pri.store.size from _cat/indices with the source data.</t>
      </text>
    </comment>
  </commentList>
</comments>
</file>

<file path=xl/comments/comment5.xml><?xml version="1.0" encoding="utf-8"?>
<comments xmlns="http://schemas.openxmlformats.org/spreadsheetml/2006/main">
  <authors>
    <author>Sizing workbook</author>
  </authors>
  <commentList>
    <comment ref="B6" authorId="0" shapeId="0">
      <text>
        <t>Taken from the Setup sheet. Blank when the environment is out of scope.</t>
      </text>
    </comment>
    <comment ref="E6" authorId="0" shapeId="0">
      <text>
        <t>Measured, Estimated or Example. Example values must be replaced before the provider quote.</t>
      </text>
    </comment>
    <comment ref="F6" authorId="0" shapeId="0">
      <text>
        <t>Primary index size, not counting replicas. After the first SRS build in DEV, use GET _cat/indices?v and add up pri.store.size [A1]. Before that, use the size of the current 8.8 search indexes.</t>
      </text>
    </comment>
    <comment ref="G6" authorId="0" shapeId="0">
      <text>
        <t>Number of indexed documents (docs.count in _cat/indices).</t>
      </text>
    </comment>
    <comment ref="H6" authorId="0" shapeId="0">
      <text>
        <t>Number of indexes SRS creates for this environment.</t>
      </text>
    </comment>
    <comment ref="I6" authorId="0" shapeId="0">
      <text>
        <t>OpenSearch default is 1 [O2]. Confirm with _cat/indices after the first SRS build.</t>
      </text>
    </comment>
    <comment ref="J6" authorId="0" shapeId="0">
      <text>
        <t>Expected growth in searchable data per year.</t>
      </text>
    </comment>
    <comment ref="K6" authorId="0" shapeId="0">
      <text>
        <t>Years the sizing must last.</t>
      </text>
    </comment>
    <comment ref="L6" authorId="0" shapeId="0">
      <text>
        <t>Optional. Extra source data held at the same time, for example a second copy while a full re-index runs. Leave blank if none.</t>
      </text>
    </comment>
    <comment ref="M6" authorId="0" shapeId="0">
      <text>
        <t>Today's data x (1 + growth) ^ years.</t>
      </text>
    </comment>
    <comment ref="O6" authorId="0" shapeId="0">
      <text>
        <t>Indexes x primary shards per index.</t>
      </text>
    </comment>
  </commentList>
</comments>
</file>

<file path=xl/comments/comment6.xml><?xml version="1.0" encoding="utf-8"?>
<comments xmlns="http://schemas.openxmlformats.org/spreadsheetml/2006/main">
  <authors>
    <author>Sizing workbook</author>
  </authors>
  <commentList>
    <comment ref="E4" authorId="0" shapeId="0">
      <text>
        <t>Source IDs. P = Pegasystems, C = Confluent, O = OpenSearch Project, A = AWS OpenSearch Service guidance, W = workbook rule. Full links are on the References sheet.</t>
      </text>
    </comment>
  </commentList>
</comments>
</file>

<file path=xl/comments/comment7.xml><?xml version="1.0" encoding="utf-8"?>
<comments xmlns="http://schemas.openxmlformats.org/spreadsheetml/2006/main">
  <authors>
    <author>Sizing workbook</author>
  </authors>
  <commentList>
    <comment ref="E4" authorId="0" shapeId="0">
      <text>
        <t>Source IDs. P = Pegasystems, C = Confluent, O = OpenSearch Project, A = AWS OpenSearch Service guidance, W = workbook rule. Full links are on the References sheet.</t>
      </text>
    </comment>
  </commentList>
</comments>
</file>

<file path=xl/comments/comment8.xml><?xml version="1.0" encoding="utf-8"?>
<comments xmlns="http://schemas.openxmlformats.org/spreadsheetml/2006/main">
  <authors>
    <author>Sizing workbook</author>
  </authors>
  <commentList>
    <comment ref="E4" authorId="0" shapeId="0">
      <text>
        <t>Source IDs. P = Pegasystems, C = Confluent, O = OpenSearch Project, A = AWS OpenSearch Service guidance, W = workbook rule. Full links are on the References sheet.</t>
      </text>
    </comment>
  </commentList>
</comments>
</file>

<file path=xl/comments/comment9.xml><?xml version="1.0" encoding="utf-8"?>
<comments xmlns="http://schemas.openxmlformats.org/spreadsheetml/2006/main">
  <authors>
    <author>Sizing workbook</author>
  </authors>
  <commentList>
    <comment ref="E4" authorId="0" shapeId="0">
      <text>
        <t>Source IDs. P = Pegasystems, C = Confluent, O = OpenSearch Project, A = AWS OpenSearch Service guidance, W = workbook rule. Full links are on the References sheet.</t>
      </text>
    </comment>
  </commentList>
</comments>
</file>

<file path=xl/comments/comment10.xml><?xml version="1.0" encoding="utf-8"?>
<comments xmlns="http://schemas.openxmlformats.org/spreadsheetml/2006/main">
  <authors>
    <author>Sizing workbook</author>
  </authors>
  <commentList>
    <comment ref="B52" authorId="0" shapeId="0">
      <text>
        <t>Per eCKU (Basic, Standard, Enterprise) or per CKU (Dedicated). Units needed for a dimension = planned demand / this figure, rounded up [C1].</t>
      </text>
    </comment>
    <comment ref="H52" authorId="0" shapeId="0">
      <text>
        <t>Basic 50, Standard 10, Enterprise 32 eCKU (also the Azure Private Link limit for Enterprise). Dedicated shows the 24-CKU invoice purchase limit; Azure supports up to 100 CKU by request [C1].</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Guide'!A1" TargetMode="External" Id="rId1" /><Relationship Type="http://schemas.openxmlformats.org/officeDocument/2006/relationships/hyperlink" Target="#'1 Setup'!A1" TargetMode="External" Id="rId2" /><Relationship Type="http://schemas.openxmlformats.org/officeDocument/2006/relationships/hyperlink" Target="#'2 Kafka Clusters'!A1" TargetMode="External" Id="rId3" /><Relationship Type="http://schemas.openxmlformats.org/officeDocument/2006/relationships/hyperlink" Target="#'3 Kafka Demand'!A1" TargetMode="External" Id="rId4" /><Relationship Type="http://schemas.openxmlformats.org/officeDocument/2006/relationships/hyperlink" Target="#'4 Search Services'!A1" TargetMode="External" Id="rId5" /><Relationship Type="http://schemas.openxmlformats.org/officeDocument/2006/relationships/hyperlink" Target="#'5 Search Demand'!A1" TargetMode="External" Id="rId6" /><Relationship Type="http://schemas.openxmlformats.org/officeDocument/2006/relationships/hyperlink" Target="#'6 Kafka Sizing'!A1" TargetMode="External" Id="rId7" /><Relationship Type="http://schemas.openxmlformats.org/officeDocument/2006/relationships/hyperlink" Target="#'7 Search Sizing'!A1" TargetMode="External" Id="rId8" /><Relationship Type="http://schemas.openxmlformats.org/officeDocument/2006/relationships/hyperlink" Target="#'8 Confluent Request'!A1" TargetMode="External" Id="rId9" /><Relationship Type="http://schemas.openxmlformats.org/officeDocument/2006/relationships/hyperlink" Target="#'9 Search Request'!A1" TargetMode="External" Id="rId10" /><Relationship Type="http://schemas.openxmlformats.org/officeDocument/2006/relationships/hyperlink" Target="#'10 Checks'!A1" TargetMode="External" Id="rId11" /><Relationship Type="http://schemas.openxmlformats.org/officeDocument/2006/relationships/hyperlink" Target="#'Ref_Data'!A1" TargetMode="External" Id="rId12" /><Relationship Type="http://schemas.openxmlformats.org/officeDocument/2006/relationships/hyperlink" Target="#'References'!A1" TargetMode="External" Id="rId13" /><Relationship Type="http://schemas.openxmlformats.org/officeDocument/2006/relationships/hyperlink" Target="#'Change Log'!A1" TargetMode="External" Id="rId14" /></Relationships>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9.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0.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1.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4.xml.rels><Relationships xmlns="http://schemas.openxmlformats.org/package/2006/relationships"><Relationship Type="http://schemas.openxmlformats.org/officeDocument/2006/relationships/hyperlink" Target="https://docs.pega.com/bundle/platform/page/platform/deployment/externalization-of-services/externalize-kafka-in-your-deployment.html" TargetMode="External" Id="rId1" /><Relationship Type="http://schemas.openxmlformats.org/officeDocument/2006/relationships/hyperlink" Target="https://docs.pega.com/bundle/platform/page/platform/deployment/externalization-of-services/externalize-search-in-your-deployment.html" TargetMode="External" Id="rId2" /><Relationship Type="http://schemas.openxmlformats.org/officeDocument/2006/relationships/hyperlink" Target="https://docs.pega.com/bundle/platform/page/platform/background-processing/queue-processor-create-rule.html" TargetMode="External" Id="rId3" /><Relationship Type="http://schemas.openxmlformats.org/officeDocument/2006/relationships/hyperlink" Target="https://docs.pega.com/bundle/platform-241/page/platform/deployment/embedded-kafka-cassandra/change-default-partitions-count-stream-nodes.html" TargetMode="External" Id="rId4" /><Relationship Type="http://schemas.openxmlformats.org/officeDocument/2006/relationships/hyperlink" Target="https://docs.pega.com/bundle/platform-88/page/platform/deployment/embedded-kafka-cassandra/monitor-stream-service.html" TargetMode="External" Id="rId5" /><Relationship Type="http://schemas.openxmlformats.org/officeDocument/2006/relationships/hyperlink" Target="https://docs.pega.com/bundle/platform/page/platform/deployment/client-managed-cloud/prereq-pega-platform-26.html" TargetMode="External" Id="rId6" /><Relationship Type="http://schemas.openxmlformats.org/officeDocument/2006/relationships/hyperlink" Target="https://github.com/pegasystems/pega-helm-charts/blob/master/charts/pega/README.md" TargetMode="External" Id="rId7" /><Relationship Type="http://schemas.openxmlformats.org/officeDocument/2006/relationships/hyperlink" Target="https://docs.pega.com/bundle/platform-25/page/platform/deployment/externalization-of-services/removing-hazelcast-faq.html" TargetMode="External" Id="rId8" /><Relationship Type="http://schemas.openxmlformats.org/officeDocument/2006/relationships/hyperlink" Target="https://docs.confluent.io/cloud/current/clusters/cluster-types.html" TargetMode="External" Id="rId9" /><Relationship Type="http://schemas.openxmlformats.org/officeDocument/2006/relationships/hyperlink" Target="https://docs.confluent.io/cloud/current/billing/billing-dimensions.html" TargetMode="External" Id="rId10" /><Relationship Type="http://schemas.openxmlformats.org/officeDocument/2006/relationships/hyperlink" Target="https://docs.confluent.io/cloud/current/client-apps/topics/manage.html" TargetMode="External" Id="rId11" /><Relationship Type="http://schemas.openxmlformats.org/officeDocument/2006/relationships/hyperlink" Target="https://docs.confluent.io/cloud/current/security/encrypt/byok/overview.html" TargetMode="External" Id="rId12" /><Relationship Type="http://schemas.openxmlformats.org/officeDocument/2006/relationships/hyperlink" Target="https://docs.opensearch.org/latest/tuning-your-cluster/" TargetMode="External" Id="rId13" /><Relationship Type="http://schemas.openxmlformats.org/officeDocument/2006/relationships/hyperlink" Target="https://docs.opensearch.org/latest/install-and-configure/configuring-opensearch/index-settings/" TargetMode="External" Id="rId14" /><Relationship Type="http://schemas.openxmlformats.org/officeDocument/2006/relationships/hyperlink" Target="https://docs.opensearch.org/latest/install-and-configure/configuring-opensearch/cluster-settings/" TargetMode="External" Id="rId15" /><Relationship Type="http://schemas.openxmlformats.org/officeDocument/2006/relationships/hyperlink" Target="https://docs.opensearch.org/latest/install-and-configure/install-opensearch/index/" TargetMode="External" Id="rId16" /><Relationship Type="http://schemas.openxmlformats.org/officeDocument/2006/relationships/hyperlink" Target="https://docs.opensearch.org/latest/getting-started/intro/" TargetMode="External" Id="rId17" /><Relationship Type="http://schemas.openxmlformats.org/officeDocument/2006/relationships/hyperlink" Target="https://docs.opensearch.org/latest/api-reference/cluster-api/cluster-health/" TargetMode="External" Id="rId18" /><Relationship Type="http://schemas.openxmlformats.org/officeDocument/2006/relationships/hyperlink" Target="https://docs.aws.amazon.com/opensearch-service/latest/developerguide/bp-storage.html" TargetMode="External" Id="rId19" /><Relationship Type="http://schemas.openxmlformats.org/officeDocument/2006/relationships/hyperlink" Target="https://docs.aws.amazon.com/opensearch-service/latest/developerguide/bp-sharding.html" TargetMode="External" Id="rId20" /><Relationship Type="http://schemas.openxmlformats.org/officeDocument/2006/relationships/hyperlink" Target="https://docs.aws.amazon.com/opensearch-service/latest/developerguide/bp-instances.html" TargetMode="External" Id="rId21" /></Relationships>
</file>

<file path=xl/worksheets/sheet1.xml><?xml version="1.0" encoding="utf-8"?>
<worksheet xmlns="http://schemas.openxmlformats.org/spreadsheetml/2006/main">
  <sheetPr>
    <tabColor rgb="001F3864"/>
    <outlinePr summaryBelow="1" summaryRight="1"/>
    <pageSetUpPr fitToPage="1"/>
  </sheetPr>
  <dimension ref="A2:I54"/>
  <sheetViews>
    <sheetView showGridLines="0" workbookViewId="0">
      <selection activeCell="A1" sqref="A1"/>
    </sheetView>
  </sheetViews>
  <sheetFormatPr baseColWidth="8" defaultRowHeight="15"/>
  <cols>
    <col width="3" customWidth="1" min="1" max="1"/>
    <col width="26" customWidth="1" min="2" max="2"/>
    <col width="16" customWidth="1" min="3" max="3"/>
    <col width="16" customWidth="1" min="4" max="4"/>
    <col width="16" customWidth="1" min="5" max="5"/>
    <col width="16" customWidth="1" min="6" max="6"/>
    <col width="16" customWidth="1" min="7" max="7"/>
    <col width="16" customWidth="1" min="8" max="8"/>
    <col width="3" customWidth="1" min="9" max="9"/>
  </cols>
  <sheetData>
    <row r="2">
      <c r="B2" s="1" t="inlineStr">
        <is>
          <t>Pega Platform '26 on Azure AKS</t>
        </is>
      </c>
    </row>
    <row r="3">
      <c r="B3" s="2" t="inlineStr">
        <is>
          <t>Kafka and OpenSearch sizing workbook</t>
        </is>
      </c>
    </row>
    <row r="4" ht="44" customHeight="1">
      <c r="B4" s="3" t="inlineStr">
        <is>
          <t>Sizes Confluent Cloud clusters and managed OpenSearch services for the Pega '26 externalised Kafka and search services, from inputs the customer collects, using Pega's published recommendations and the providers' published limits.</t>
        </is>
      </c>
    </row>
    <row r="6">
      <c r="B6" s="4" t="inlineStr">
        <is>
          <t>WORKED EXAMPLE: illustrative inputs only</t>
        </is>
      </c>
    </row>
    <row r="7">
      <c r="B7" s="5" t="inlineStr">
        <is>
          <t>Version</t>
        </is>
      </c>
      <c r="C7" s="6" t="inlineStr">
        <is>
          <t>1.0</t>
        </is>
      </c>
    </row>
    <row r="8">
      <c r="B8" s="5" t="inlineStr">
        <is>
          <t>Date</t>
        </is>
      </c>
      <c r="C8" s="6" t="inlineStr">
        <is>
          <t>6 October 2026</t>
        </is>
      </c>
    </row>
    <row r="9">
      <c r="B9" s="5" t="inlineStr">
        <is>
          <t>Customer</t>
        </is>
      </c>
      <c r="C9" s="6">
        <f>IF('1 Setup'!C4="","(enter on Setup)",'1 Setup'!C4)</f>
        <v/>
      </c>
    </row>
    <row r="10">
      <c r="B10" s="5" t="inlineStr">
        <is>
          <t>Status</t>
        </is>
      </c>
      <c r="C10" s="6">
        <f>'1 Setup'!C11</f>
        <v/>
      </c>
    </row>
    <row r="11">
      <c r="B11" s="5" t="inlineStr">
        <is>
          <t>Evidence checked</t>
        </is>
      </c>
      <c r="C11" s="6" t="inlineStr">
        <is>
          <t>6 Oct 2026</t>
        </is>
      </c>
    </row>
    <row r="13">
      <c r="B13" s="7" t="inlineStr">
        <is>
          <t>Results summary</t>
        </is>
      </c>
    </row>
    <row r="14" ht="22" customHeight="1">
      <c r="A14" s="8" t="inlineStr"/>
      <c r="B14" s="9" t="inlineStr">
        <is>
          <t>Kafka cluster</t>
        </is>
      </c>
      <c r="C14" s="9" t="inlineStr">
        <is>
          <t>Environments</t>
        </is>
      </c>
      <c r="D14" s="9" t="inlineStr">
        <is>
          <t>Type</t>
        </is>
      </c>
      <c r="E14" s="9" t="inlineStr">
        <is>
          <t>Units</t>
        </is>
      </c>
      <c r="F14" s="9" t="inlineStr">
        <is>
          <t>Sized by</t>
        </is>
      </c>
      <c r="G14" s="9" t="inlineStr">
        <is>
          <t>Checks</t>
        </is>
      </c>
      <c r="H14" s="9" t="inlineStr"/>
      <c r="I14" s="10" t="n"/>
    </row>
    <row r="15">
      <c r="B15" s="11">
        <f>'6 Kafka Sizing'!F8</f>
        <v/>
      </c>
      <c r="C15" s="11">
        <f>'6 Kafka Sizing'!F7</f>
        <v/>
      </c>
      <c r="D15" s="12">
        <f>'6 Kafka Sizing'!F67</f>
        <v/>
      </c>
      <c r="E15" s="12">
        <f>IF('6 Kafka Sizing'!F70=0,"-",'6 Kafka Sizing'!F70&amp;" "&amp;'6 Kafka Sizing'!F69)</f>
        <v/>
      </c>
      <c r="F15" s="11">
        <f>'6 Kafka Sizing'!F79</f>
        <v/>
      </c>
      <c r="G15" s="11">
        <f>'10 Checks'!G5</f>
        <v/>
      </c>
    </row>
    <row r="16">
      <c r="B16" s="11">
        <f>'6 Kafka Sizing'!G8</f>
        <v/>
      </c>
      <c r="C16" s="11">
        <f>'6 Kafka Sizing'!G7</f>
        <v/>
      </c>
      <c r="D16" s="12">
        <f>'6 Kafka Sizing'!G67</f>
        <v/>
      </c>
      <c r="E16" s="12">
        <f>IF('6 Kafka Sizing'!G70=0,"-",'6 Kafka Sizing'!G70&amp;" "&amp;'6 Kafka Sizing'!G69)</f>
        <v/>
      </c>
      <c r="F16" s="11">
        <f>'6 Kafka Sizing'!G79</f>
        <v/>
      </c>
      <c r="G16" s="11">
        <f>'10 Checks'!G6</f>
        <v/>
      </c>
    </row>
    <row r="17">
      <c r="B17" s="11">
        <f>'6 Kafka Sizing'!H8</f>
        <v/>
      </c>
      <c r="C17" s="11">
        <f>'6 Kafka Sizing'!H7</f>
        <v/>
      </c>
      <c r="D17" s="12">
        <f>'6 Kafka Sizing'!H67</f>
        <v/>
      </c>
      <c r="E17" s="12">
        <f>IF('6 Kafka Sizing'!H70=0,"-",'6 Kafka Sizing'!H70&amp;" "&amp;'6 Kafka Sizing'!H69)</f>
        <v/>
      </c>
      <c r="F17" s="11">
        <f>'6 Kafka Sizing'!H79</f>
        <v/>
      </c>
      <c r="G17" s="11">
        <f>'10 Checks'!G7</f>
        <v/>
      </c>
    </row>
    <row r="18">
      <c r="B18" s="11">
        <f>'6 Kafka Sizing'!I8</f>
        <v/>
      </c>
      <c r="C18" s="11">
        <f>'6 Kafka Sizing'!I7</f>
        <v/>
      </c>
      <c r="D18" s="12">
        <f>'6 Kafka Sizing'!I67</f>
        <v/>
      </c>
      <c r="E18" s="12">
        <f>IF('6 Kafka Sizing'!I70=0,"-",'6 Kafka Sizing'!I70&amp;" "&amp;'6 Kafka Sizing'!I69)</f>
        <v/>
      </c>
      <c r="F18" s="11">
        <f>'6 Kafka Sizing'!I79</f>
        <v/>
      </c>
      <c r="G18" s="11">
        <f>'10 Checks'!G8</f>
        <v/>
      </c>
    </row>
    <row r="19">
      <c r="B19" s="11">
        <f>'6 Kafka Sizing'!J8</f>
        <v/>
      </c>
      <c r="C19" s="11">
        <f>'6 Kafka Sizing'!J7</f>
        <v/>
      </c>
      <c r="D19" s="12">
        <f>'6 Kafka Sizing'!J67</f>
        <v/>
      </c>
      <c r="E19" s="12">
        <f>IF('6 Kafka Sizing'!J70=0,"-",'6 Kafka Sizing'!J70&amp;" "&amp;'6 Kafka Sizing'!J69)</f>
        <v/>
      </c>
      <c r="F19" s="11">
        <f>'6 Kafka Sizing'!J79</f>
        <v/>
      </c>
      <c r="G19" s="11">
        <f>'10 Checks'!G9</f>
        <v/>
      </c>
    </row>
    <row r="20">
      <c r="B20" s="11">
        <f>'6 Kafka Sizing'!K8</f>
        <v/>
      </c>
      <c r="C20" s="11">
        <f>'6 Kafka Sizing'!K7</f>
        <v/>
      </c>
      <c r="D20" s="12">
        <f>'6 Kafka Sizing'!K67</f>
        <v/>
      </c>
      <c r="E20" s="12">
        <f>IF('6 Kafka Sizing'!K70=0,"-",'6 Kafka Sizing'!K70&amp;" "&amp;'6 Kafka Sizing'!K69)</f>
        <v/>
      </c>
      <c r="F20" s="11">
        <f>'6 Kafka Sizing'!K79</f>
        <v/>
      </c>
      <c r="G20" s="11">
        <f>'10 Checks'!G10</f>
        <v/>
      </c>
    </row>
    <row r="22" ht="22" customHeight="1">
      <c r="A22" s="8" t="inlineStr"/>
      <c r="B22" s="9" t="inlineStr">
        <is>
          <t>Search service</t>
        </is>
      </c>
      <c r="C22" s="9" t="inlineStr">
        <is>
          <t>Environments</t>
        </is>
      </c>
      <c r="D22" s="9" t="inlineStr">
        <is>
          <t>Data nodes</t>
        </is>
      </c>
      <c r="E22" s="9" t="inlineStr">
        <is>
          <t>Managers</t>
        </is>
      </c>
      <c r="F22" s="9" t="inlineStr">
        <is>
          <t>Sized by</t>
        </is>
      </c>
      <c r="G22" s="9" t="inlineStr">
        <is>
          <t>Checks</t>
        </is>
      </c>
      <c r="H22" s="9" t="inlineStr"/>
      <c r="I22" s="10" t="n"/>
    </row>
    <row r="23">
      <c r="B23" s="11">
        <f>'7 Search Sizing'!F8</f>
        <v/>
      </c>
      <c r="C23" s="11">
        <f>'7 Search Sizing'!F7</f>
        <v/>
      </c>
      <c r="D23" s="12">
        <f>IF('7 Search Sizing'!F56=0,"-",'7 Search Sizing'!F56&amp;" x "&amp;'7 Search Sizing'!F40&amp;" vCPU / "&amp;'7 Search Sizing'!F41&amp;" GB / "&amp;'7 Search Sizing'!F42&amp;" GB")</f>
        <v/>
      </c>
      <c r="E23" s="12">
        <f>IF('7 Search Sizing'!F61=0,"-",'7 Search Sizing'!F61&amp;" x "&amp;'7 Search Sizing'!F62&amp;" vCPU / "&amp;'7 Search Sizing'!F63&amp;" GB")</f>
        <v/>
      </c>
      <c r="F23" s="11">
        <f>'7 Search Sizing'!F57</f>
        <v/>
      </c>
      <c r="G23" s="11">
        <f>'10 Checks'!G11</f>
        <v/>
      </c>
    </row>
    <row r="24">
      <c r="B24" s="11">
        <f>'7 Search Sizing'!G8</f>
        <v/>
      </c>
      <c r="C24" s="11">
        <f>'7 Search Sizing'!G7</f>
        <v/>
      </c>
      <c r="D24" s="12">
        <f>IF('7 Search Sizing'!G56=0,"-",'7 Search Sizing'!G56&amp;" x "&amp;'7 Search Sizing'!G40&amp;" vCPU / "&amp;'7 Search Sizing'!G41&amp;" GB / "&amp;'7 Search Sizing'!G42&amp;" GB")</f>
        <v/>
      </c>
      <c r="E24" s="12">
        <f>IF('7 Search Sizing'!G61=0,"-",'7 Search Sizing'!G61&amp;" x "&amp;'7 Search Sizing'!G62&amp;" vCPU / "&amp;'7 Search Sizing'!G63&amp;" GB")</f>
        <v/>
      </c>
      <c r="F24" s="11">
        <f>'7 Search Sizing'!G57</f>
        <v/>
      </c>
      <c r="G24" s="11">
        <f>'10 Checks'!G12</f>
        <v/>
      </c>
    </row>
    <row r="25">
      <c r="B25" s="11">
        <f>'7 Search Sizing'!H8</f>
        <v/>
      </c>
      <c r="C25" s="11">
        <f>'7 Search Sizing'!H7</f>
        <v/>
      </c>
      <c r="D25" s="12">
        <f>IF('7 Search Sizing'!H56=0,"-",'7 Search Sizing'!H56&amp;" x "&amp;'7 Search Sizing'!H40&amp;" vCPU / "&amp;'7 Search Sizing'!H41&amp;" GB / "&amp;'7 Search Sizing'!H42&amp;" GB")</f>
        <v/>
      </c>
      <c r="E25" s="12">
        <f>IF('7 Search Sizing'!H61=0,"-",'7 Search Sizing'!H61&amp;" x "&amp;'7 Search Sizing'!H62&amp;" vCPU / "&amp;'7 Search Sizing'!H63&amp;" GB")</f>
        <v/>
      </c>
      <c r="F25" s="11">
        <f>'7 Search Sizing'!H57</f>
        <v/>
      </c>
      <c r="G25" s="11">
        <f>'10 Checks'!G13</f>
        <v/>
      </c>
    </row>
    <row r="26">
      <c r="B26" s="11">
        <f>'7 Search Sizing'!I8</f>
        <v/>
      </c>
      <c r="C26" s="11">
        <f>'7 Search Sizing'!I7</f>
        <v/>
      </c>
      <c r="D26" s="12">
        <f>IF('7 Search Sizing'!I56=0,"-",'7 Search Sizing'!I56&amp;" x "&amp;'7 Search Sizing'!I40&amp;" vCPU / "&amp;'7 Search Sizing'!I41&amp;" GB / "&amp;'7 Search Sizing'!I42&amp;" GB")</f>
        <v/>
      </c>
      <c r="E26" s="12">
        <f>IF('7 Search Sizing'!I61=0,"-",'7 Search Sizing'!I61&amp;" x "&amp;'7 Search Sizing'!I62&amp;" vCPU / "&amp;'7 Search Sizing'!I63&amp;" GB")</f>
        <v/>
      </c>
      <c r="F26" s="11">
        <f>'7 Search Sizing'!I57</f>
        <v/>
      </c>
      <c r="G26" s="11">
        <f>'10 Checks'!G14</f>
        <v/>
      </c>
    </row>
    <row r="27">
      <c r="B27" s="11">
        <f>'7 Search Sizing'!J8</f>
        <v/>
      </c>
      <c r="C27" s="11">
        <f>'7 Search Sizing'!J7</f>
        <v/>
      </c>
      <c r="D27" s="12">
        <f>IF('7 Search Sizing'!J56=0,"-",'7 Search Sizing'!J56&amp;" x "&amp;'7 Search Sizing'!J40&amp;" vCPU / "&amp;'7 Search Sizing'!J41&amp;" GB / "&amp;'7 Search Sizing'!J42&amp;" GB")</f>
        <v/>
      </c>
      <c r="E27" s="12">
        <f>IF('7 Search Sizing'!J61=0,"-",'7 Search Sizing'!J61&amp;" x "&amp;'7 Search Sizing'!J62&amp;" vCPU / "&amp;'7 Search Sizing'!J63&amp;" GB")</f>
        <v/>
      </c>
      <c r="F27" s="11">
        <f>'7 Search Sizing'!J57</f>
        <v/>
      </c>
      <c r="G27" s="11">
        <f>'10 Checks'!G15</f>
        <v/>
      </c>
    </row>
    <row r="28">
      <c r="B28" s="11">
        <f>'7 Search Sizing'!K8</f>
        <v/>
      </c>
      <c r="C28" s="11">
        <f>'7 Search Sizing'!K7</f>
        <v/>
      </c>
      <c r="D28" s="12">
        <f>IF('7 Search Sizing'!K56=0,"-",'7 Search Sizing'!K56&amp;" x "&amp;'7 Search Sizing'!K40&amp;" vCPU / "&amp;'7 Search Sizing'!K41&amp;" GB / "&amp;'7 Search Sizing'!K42&amp;" GB")</f>
        <v/>
      </c>
      <c r="E28" s="12">
        <f>IF('7 Search Sizing'!K61=0,"-",'7 Search Sizing'!K61&amp;" x "&amp;'7 Search Sizing'!K62&amp;" vCPU / "&amp;'7 Search Sizing'!K63&amp;" GB")</f>
        <v/>
      </c>
      <c r="F28" s="11">
        <f>'7 Search Sizing'!K57</f>
        <v/>
      </c>
      <c r="G28" s="11">
        <f>'10 Checks'!G16</f>
        <v/>
      </c>
    </row>
    <row r="30">
      <c r="B30" s="7" t="inlineStr">
        <is>
          <t>Colour key</t>
        </is>
      </c>
    </row>
    <row r="31">
      <c r="B31" s="13" t="inlineStr"/>
      <c r="C31" s="6" t="inlineStr">
        <is>
          <t>Input: the customer enters or confirms this value</t>
        </is>
      </c>
    </row>
    <row r="32">
      <c r="B32" s="14" t="inlineStr"/>
      <c r="C32" s="6" t="inlineStr">
        <is>
          <t>Worked out by formula: do not overwrite</t>
        </is>
      </c>
    </row>
    <row r="33">
      <c r="B33" s="15" t="inlineStr"/>
      <c r="C33" s="6" t="inlineStr">
        <is>
          <t>Result: carried to the summary and the provider request sheets</t>
        </is>
      </c>
    </row>
    <row r="34">
      <c r="B34" s="16" t="inlineStr"/>
      <c r="C34" s="6" t="inlineStr">
        <is>
          <t>Published reference value (Ref_Data)</t>
        </is>
      </c>
    </row>
    <row r="35">
      <c r="B35" s="17" t="inlineStr"/>
      <c r="C35" s="6" t="inlineStr">
        <is>
          <t>WARN: review before sending</t>
        </is>
      </c>
    </row>
    <row r="36">
      <c r="B36" s="18" t="inlineStr"/>
      <c r="C36" s="6" t="inlineStr">
        <is>
          <t>FAIL: must be resolved before sending</t>
        </is>
      </c>
    </row>
    <row r="38">
      <c r="B38" s="7" t="inlineStr">
        <is>
          <t>Sheets</t>
        </is>
      </c>
    </row>
    <row r="39">
      <c r="B39" s="19" t="inlineStr">
        <is>
          <t>Guide</t>
        </is>
      </c>
      <c r="C39" s="6" t="inlineStr">
        <is>
          <t>How to use the workbook and where each input comes from</t>
        </is>
      </c>
    </row>
    <row r="40">
      <c r="B40" s="19" t="inlineStr">
        <is>
          <t>1 Setup</t>
        </is>
      </c>
      <c r="C40" s="6" t="inlineStr">
        <is>
          <t>Programme details; environments and their cluster and service assignment</t>
        </is>
      </c>
    </row>
    <row r="41">
      <c r="B41" s="19" t="inlineStr">
        <is>
          <t>2 Kafka Clusters</t>
        </is>
      </c>
      <c r="C41" s="6" t="inlineStr">
        <is>
          <t>Kafka cluster requirements: SLA, networking, keys, growth and utilisation</t>
        </is>
      </c>
    </row>
    <row r="42">
      <c r="B42" s="19" t="inlineStr">
        <is>
          <t>3 Kafka Demand</t>
        </is>
      </c>
      <c r="C42" s="6" t="inlineStr">
        <is>
          <t>Kafka demand per environment: partitions, throughput, retention, connections</t>
        </is>
      </c>
    </row>
    <row r="43">
      <c r="B43" s="19" t="inlineStr">
        <is>
          <t>4 Search Services</t>
        </is>
      </c>
      <c r="C43" s="6" t="inlineStr">
        <is>
          <t>Search service requirements: high availability, zones, replicas, overheads</t>
        </is>
      </c>
    </row>
    <row r="44">
      <c r="B44" s="19" t="inlineStr">
        <is>
          <t>5 Search Demand</t>
        </is>
      </c>
      <c r="C44" s="6" t="inlineStr">
        <is>
          <t>Search demand per environment: data, documents, indexes, growth</t>
        </is>
      </c>
    </row>
    <row r="45">
      <c r="B45" s="19" t="inlineStr">
        <is>
          <t>6 Kafka Sizing</t>
        </is>
      </c>
      <c r="C45" s="6" t="inlineStr">
        <is>
          <t>Kafka calculation, step by step, with checks and explanation</t>
        </is>
      </c>
    </row>
    <row r="46">
      <c r="B46" s="19" t="inlineStr">
        <is>
          <t>7 Search Sizing</t>
        </is>
      </c>
      <c r="C46" s="6" t="inlineStr">
        <is>
          <t>Search calculation, step by step, with checks and explanation</t>
        </is>
      </c>
    </row>
    <row r="47">
      <c r="B47" s="19" t="inlineStr">
        <is>
          <t>8 Confluent Request</t>
        </is>
      </c>
      <c r="C47" s="6" t="inlineStr">
        <is>
          <t>Request to send to Confluent Cloud</t>
        </is>
      </c>
    </row>
    <row r="48">
      <c r="B48" s="19" t="inlineStr">
        <is>
          <t>9 Search Request</t>
        </is>
      </c>
      <c r="C48" s="6" t="inlineStr">
        <is>
          <t>Request to send to the managed OpenSearch provider</t>
        </is>
      </c>
    </row>
    <row r="49">
      <c r="B49" s="19" t="inlineStr">
        <is>
          <t>10 Checks</t>
        </is>
      </c>
      <c r="C49" s="6" t="inlineStr">
        <is>
          <t>Summary of all checks</t>
        </is>
      </c>
    </row>
    <row r="50">
      <c r="B50" s="19" t="inlineStr">
        <is>
          <t>Ref_Data</t>
        </is>
      </c>
      <c r="C50" s="6" t="inlineStr">
        <is>
          <t>Published figures used by the formulas, with quoted evidence</t>
        </is>
      </c>
    </row>
    <row r="51">
      <c r="B51" s="19" t="inlineStr">
        <is>
          <t>References</t>
        </is>
      </c>
      <c r="C51" s="6" t="inlineStr">
        <is>
          <t>Source documents with links</t>
        </is>
      </c>
    </row>
    <row r="52">
      <c r="B52" s="19" t="inlineStr">
        <is>
          <t>Change Log</t>
        </is>
      </c>
      <c r="C52" s="6" t="inlineStr">
        <is>
          <t>Version history</t>
        </is>
      </c>
    </row>
    <row r="54" ht="70" customHeight="1">
      <c r="B54" s="20" t="inlineStr">
        <is>
          <t>Basis and limits. Pega states that its sizing tables are a starting point and that the environment should be scaled using indexing, query and stream metrics after deployment [P2]. Confluent and the search provider make the final sizing and price. Where Pega publishes no figure (connections, request rates, storage formula), the workbook uses measured inputs or the cited provider guidance, and labels workbook rules W. Figures were checked against the sources on 6 Oct 2026; re-check them before a contract.</t>
        </is>
      </c>
    </row>
  </sheetData>
  <sheetProtection selectLockedCells="0" selectUnlockedCells="0" sheet="1" objects="0" insertRows="1" insertHyperlinks="1" autoFilter="0" scenarios="0" formatColumns="0" deleteColumns="1" insertColumns="1" pivotTables="1" deleteRows="1" formatCells="0" formatRows="0" sort="0"/>
  <mergeCells count="22">
    <mergeCell ref="C41:H41"/>
    <mergeCell ref="C47:H47"/>
    <mergeCell ref="C50:H50"/>
    <mergeCell ref="C44:H44"/>
    <mergeCell ref="C40:H40"/>
    <mergeCell ref="C31:H31"/>
    <mergeCell ref="C43:H43"/>
    <mergeCell ref="C51:H51"/>
    <mergeCell ref="C46:H46"/>
    <mergeCell ref="C36:H36"/>
    <mergeCell ref="B4:H4"/>
    <mergeCell ref="C52:H52"/>
    <mergeCell ref="C39:H39"/>
    <mergeCell ref="B54:H54"/>
    <mergeCell ref="C48:H48"/>
    <mergeCell ref="C32:H32"/>
    <mergeCell ref="C49:H49"/>
    <mergeCell ref="C34:H34"/>
    <mergeCell ref="C33:H33"/>
    <mergeCell ref="C42:H42"/>
    <mergeCell ref="C45:H45"/>
    <mergeCell ref="C35:H35"/>
  </mergeCells>
  <conditionalFormatting sqref="G15:G20">
    <cfRule type="expression" priority="1" dxfId="0">
      <formula>LEFT(G15,4)="FAIL"</formula>
    </cfRule>
    <cfRule type="expression" priority="2" dxfId="1">
      <formula>LEFT(G15,4)="WARN"</formula>
    </cfRule>
    <cfRule type="expression" priority="3" dxfId="2">
      <formula>LEFT(G15,4)="PASS"</formula>
    </cfRule>
    <cfRule type="expression" priority="4" dxfId="3">
      <formula>LEFT(G15,4)="INFO"</formula>
    </cfRule>
  </conditionalFormatting>
  <conditionalFormatting sqref="G23:G28">
    <cfRule type="expression" priority="5" dxfId="0">
      <formula>LEFT(G23,4)="FAIL"</formula>
    </cfRule>
    <cfRule type="expression" priority="6" dxfId="1">
      <formula>LEFT(G23,4)="WARN"</formula>
    </cfRule>
    <cfRule type="expression" priority="7" dxfId="2">
      <formula>LEFT(G23,4)="PASS"</formula>
    </cfRule>
    <cfRule type="expression" priority="8" dxfId="3">
      <formula>LEFT(G23,4)="INFO"</formula>
    </cfRule>
  </conditionalFormatting>
  <hyperlinks>
    <hyperlink xmlns:r="http://schemas.openxmlformats.org/officeDocument/2006/relationships" ref="B39" r:id="rId1"/>
    <hyperlink xmlns:r="http://schemas.openxmlformats.org/officeDocument/2006/relationships" ref="B40" r:id="rId2"/>
    <hyperlink xmlns:r="http://schemas.openxmlformats.org/officeDocument/2006/relationships" ref="B41" r:id="rId3"/>
    <hyperlink xmlns:r="http://schemas.openxmlformats.org/officeDocument/2006/relationships" ref="B42" r:id="rId4"/>
    <hyperlink xmlns:r="http://schemas.openxmlformats.org/officeDocument/2006/relationships" ref="B43" r:id="rId5"/>
    <hyperlink xmlns:r="http://schemas.openxmlformats.org/officeDocument/2006/relationships" ref="B44" r:id="rId6"/>
    <hyperlink xmlns:r="http://schemas.openxmlformats.org/officeDocument/2006/relationships" ref="B45" r:id="rId7"/>
    <hyperlink xmlns:r="http://schemas.openxmlformats.org/officeDocument/2006/relationships" ref="B46" r:id="rId8"/>
    <hyperlink xmlns:r="http://schemas.openxmlformats.org/officeDocument/2006/relationships" ref="B47" r:id="rId9"/>
    <hyperlink xmlns:r="http://schemas.openxmlformats.org/officeDocument/2006/relationships" ref="B48" r:id="rId10"/>
    <hyperlink xmlns:r="http://schemas.openxmlformats.org/officeDocument/2006/relationships" ref="B49" r:id="rId11"/>
    <hyperlink xmlns:r="http://schemas.openxmlformats.org/officeDocument/2006/relationships" ref="B50" r:id="rId12"/>
    <hyperlink xmlns:r="http://schemas.openxmlformats.org/officeDocument/2006/relationships" ref="B51" r:id="rId13"/>
    <hyperlink xmlns:r="http://schemas.openxmlformats.org/officeDocument/2006/relationships" ref="B52" r:id="rId14"/>
  </hyperlinks>
  <printOptions horizontalCentered="1"/>
  <pageMargins left="0.75" right="0.75" top="1" bottom="1" header="0.5" footer="0.5"/>
  <pageSetup orientation="landscape" fitToHeight="0" fitToWidth="1"/>
  <headerFooter>
    <oddHeader/>
    <oddFooter>&amp;LPega '26 Kafka and OpenSearch sizing workbook v1.0&amp;C&amp;A  -  page &amp;P of &amp;N</oddFooter>
    <evenHeader/>
    <evenFooter/>
    <firstHeader/>
    <firstFooter/>
  </headerFooter>
</worksheet>
</file>

<file path=xl/worksheets/sheet2.xml><?xml version="1.0" encoding="utf-8"?>
<worksheet xmlns="http://schemas.openxmlformats.org/spreadsheetml/2006/main">
  <sheetPr>
    <tabColor rgb="001F3864"/>
    <outlinePr summaryBelow="1" summaryRight="1"/>
    <pageSetUpPr fitToPage="1"/>
  </sheetPr>
  <dimension ref="A1:E31"/>
  <sheetViews>
    <sheetView showGridLines="0" workbookViewId="0">
      <selection activeCell="A1" sqref="A1"/>
    </sheetView>
  </sheetViews>
  <sheetFormatPr baseColWidth="8" defaultRowHeight="15"/>
  <cols>
    <col width="6" customWidth="1" min="1" max="1"/>
    <col width="26" customWidth="1" min="2" max="2"/>
    <col width="46" customWidth="1" min="3" max="3"/>
    <col width="46" customWidth="1" min="4" max="4"/>
    <col width="50" customWidth="1" min="5" max="5"/>
  </cols>
  <sheetData>
    <row r="1">
      <c r="A1" s="21" t="inlineStr">
        <is>
          <t>Guide: how to use this workbook</t>
        </is>
      </c>
    </row>
    <row r="2">
      <c r="A2" s="22" t="inlineStr">
        <is>
          <t>Work through the numbered sheets in order. Hover over cells with a red corner for guidance and sources.</t>
        </is>
      </c>
    </row>
    <row r="4" ht="30" customHeight="1">
      <c r="A4" s="9" t="inlineStr">
        <is>
          <t>Step</t>
        </is>
      </c>
      <c r="B4" s="9" t="inlineStr">
        <is>
          <t>Sheet</t>
        </is>
      </c>
      <c r="C4" s="9" t="inlineStr">
        <is>
          <t>What to do</t>
        </is>
      </c>
      <c r="D4" s="23" t="n"/>
      <c r="E4" s="24" t="n"/>
    </row>
    <row r="5" ht="29" customHeight="1">
      <c r="A5" s="25" t="inlineStr">
        <is>
          <t>1</t>
        </is>
      </c>
      <c r="B5" s="26" t="inlineStr">
        <is>
          <t>Setup</t>
        </is>
      </c>
      <c r="C5" s="27" t="inlineStr">
        <is>
          <t>Enter the programme details. List the environments, choose each one's Pega landscape and assign it to a Kafka cluster (K1 to K6) and a search service (S1 to S6).</t>
        </is>
      </c>
      <c r="D5" s="23" t="n"/>
      <c r="E5" s="24" t="n"/>
    </row>
    <row r="6" ht="15.5" customHeight="1">
      <c r="A6" s="25" t="inlineStr">
        <is>
          <t>2</t>
        </is>
      </c>
      <c r="B6" s="26" t="inlineStr">
        <is>
          <t>Kafka Clusters</t>
        </is>
      </c>
      <c r="C6" s="27" t="inlineStr">
        <is>
          <t>For each cluster in use, choose the SLA, private networking, self-managed keys, preferred type, growth allowance and target utilisation.</t>
        </is>
      </c>
      <c r="D6" s="23" t="n"/>
      <c r="E6" s="24" t="n"/>
    </row>
    <row r="7" ht="29" customHeight="1">
      <c r="A7" s="25" t="inlineStr">
        <is>
          <t>3</t>
        </is>
      </c>
      <c r="B7" s="26" t="inlineStr">
        <is>
          <t>Kafka Demand</t>
        </is>
      </c>
      <c r="C7" s="27" t="inlineStr">
        <is>
          <t>For each environment, enter partitions (measured, or queue processors and topics), peak throughput, daily volume, retention, connections, requests and largest message. Set the input status to Measured or Estimated.</t>
        </is>
      </c>
      <c r="D7" s="23" t="n"/>
      <c r="E7" s="24" t="n"/>
    </row>
    <row r="8" ht="15.5" customHeight="1">
      <c r="A8" s="25" t="inlineStr">
        <is>
          <t>4</t>
        </is>
      </c>
      <c r="B8" s="26" t="inlineStr">
        <is>
          <t>Search Services</t>
        </is>
      </c>
      <c r="C8" s="27" t="inlineStr">
        <is>
          <t>For each service in use, choose high availability, zones and replicas, and enter the provider's storage overhead when known.</t>
        </is>
      </c>
      <c r="D8" s="23" t="n"/>
      <c r="E8" s="24" t="n"/>
    </row>
    <row r="9" ht="15.5" customHeight="1">
      <c r="A9" s="25" t="inlineStr">
        <is>
          <t>5</t>
        </is>
      </c>
      <c r="B9" s="26" t="inlineStr">
        <is>
          <t>Search Demand</t>
        </is>
      </c>
      <c r="C9" s="27" t="inlineStr">
        <is>
          <t>For each environment, enter searchable data, documents, indexes, growth and planning period.</t>
        </is>
      </c>
      <c r="D9" s="23" t="n"/>
      <c r="E9" s="24" t="n"/>
    </row>
    <row r="10" ht="15.5" customHeight="1">
      <c r="A10" s="25" t="inlineStr">
        <is>
          <t>6</t>
        </is>
      </c>
      <c r="B10" s="26" t="inlineStr">
        <is>
          <t>Checks</t>
        </is>
      </c>
      <c r="C10" s="27" t="inlineStr">
        <is>
          <t>Resolve every FAIL and review every WARN. Read the explanation at the foot of the two sizing sheets.</t>
        </is>
      </c>
      <c r="D10" s="23" t="n"/>
      <c r="E10" s="24" t="n"/>
    </row>
    <row r="11" ht="29" customHeight="1">
      <c r="A11" s="25" t="inlineStr">
        <is>
          <t>7</t>
        </is>
      </c>
      <c r="B11" s="26" t="inlineStr">
        <is>
          <t>Request sheets</t>
        </is>
      </c>
      <c r="C11" s="27" t="inlineStr">
        <is>
          <t>Send the Confluent Request sheet to Confluent and the Search Request sheet to the OpenSearch provider, with the questions on each sheet. Record their answers in the Notes rows and update the inputs.</t>
        </is>
      </c>
      <c r="D11" s="23" t="n"/>
      <c r="E11" s="24" t="n"/>
    </row>
    <row r="12" ht="15.5" customHeight="1">
      <c r="A12" s="25" t="inlineStr">
        <is>
          <t>8</t>
        </is>
      </c>
      <c r="B12" s="26" t="inlineStr">
        <is>
          <t>After go-live in DEV</t>
        </is>
      </c>
      <c r="C12" s="27" t="inlineStr">
        <is>
          <t>Replace estimates with measured figures from the first DEV build on the new services and recalculate before sizing the higher environments.</t>
        </is>
      </c>
      <c r="D12" s="23" t="n"/>
      <c r="E12" s="24" t="n"/>
    </row>
    <row r="14">
      <c r="A14" s="28" t="inlineStr">
        <is>
          <t>Where each input comes from</t>
        </is>
      </c>
    </row>
    <row r="15" ht="30" customHeight="1">
      <c r="A15" s="9" t="inlineStr"/>
      <c r="B15" s="9" t="inlineStr">
        <is>
          <t>Input</t>
        </is>
      </c>
      <c r="C15" s="9" t="inlineStr">
        <is>
          <t>Pega 8.8 today (embedded services)</t>
        </is>
      </c>
      <c r="D15" s="9" t="inlineStr">
        <is>
          <t>Pega '26 DEV on the new services</t>
        </is>
      </c>
      <c r="E15" s="9" t="inlineStr">
        <is>
          <t>Notes</t>
        </is>
      </c>
    </row>
    <row r="16" ht="29" customHeight="1">
      <c r="A16" s="27" t="inlineStr"/>
      <c r="B16" s="26" t="inlineStr">
        <is>
          <t>Leader partitions</t>
        </is>
      </c>
      <c r="C16" s="27" t="inlineStr">
        <is>
          <t>Stream service landing page in Pega 8.8 (partitions per topic) [P5]</t>
        </is>
      </c>
      <c r="D16" s="27" t="inlineStr">
        <is>
          <t>Confluent topic list for the DEV cluster after the first Pega '26 start-up</t>
        </is>
      </c>
      <c r="E16" s="27" t="inlineStr">
        <is>
          <t>Queue processor topics have six partitions by default [P3].</t>
        </is>
      </c>
    </row>
    <row r="17" ht="42.5" customHeight="1">
      <c r="A17" s="27" t="inlineStr"/>
      <c r="B17" s="26" t="inlineStr">
        <is>
          <t>Queue processors and topics</t>
        </is>
      </c>
      <c r="C17" s="27" t="inlineStr">
        <is>
          <t>Admin Studio, Queue processors; Dev Studio, Stream data sets</t>
        </is>
      </c>
      <c r="D17" s="27" t="inlineStr">
        <is>
          <t>Confluent topic list</t>
        </is>
      </c>
      <c r="E17" s="27" t="inlineStr">
        <is>
          <t>Include the system pulse topic (6 partitions) [P6] and the messaging topics that replace Hazelcast from Pega '25 [P8]; these do not exist on 8.8.</t>
        </is>
      </c>
    </row>
    <row r="18" ht="29" customHeight="1">
      <c r="A18" s="27" t="inlineStr"/>
      <c r="B18" s="26" t="inlineStr">
        <is>
          <t>Peak messages and size</t>
        </is>
      </c>
      <c r="C18" s="27" t="inlineStr">
        <is>
          <t>Stream service monitoring in Pega 8.8, or application estimates</t>
        </is>
      </c>
      <c r="D18" s="27" t="inlineStr">
        <is>
          <t>Confluent Cloud cluster metrics: received records and received bytes at peak</t>
        </is>
      </c>
      <c r="E18" s="27" t="inlineStr">
        <is>
          <t>Use the busiest hour of a normal business day plus any batch window.</t>
        </is>
      </c>
    </row>
    <row r="19" ht="15.5" customHeight="1">
      <c r="A19" s="27" t="inlineStr"/>
      <c r="B19" s="26" t="inlineStr">
        <is>
          <t>Peak read and fan-out</t>
        </is>
      </c>
      <c r="C19" s="27" t="inlineStr">
        <is>
          <t>Number of consumers per topic</t>
        </is>
      </c>
      <c r="D19" s="27" t="inlineStr">
        <is>
          <t>Confluent Cloud cluster metrics: sent bytes at peak</t>
        </is>
      </c>
      <c r="E19" s="27" t="inlineStr">
        <is>
          <t>Egress counts every read by every consumer group.</t>
        </is>
      </c>
    </row>
    <row r="20" ht="29" customHeight="1">
      <c r="A20" s="27" t="inlineStr"/>
      <c r="B20" s="26" t="inlineStr">
        <is>
          <t>Messages or GiB per day</t>
        </is>
      </c>
      <c r="C20" s="27" t="inlineStr">
        <is>
          <t>Application estimates</t>
        </is>
      </c>
      <c r="D20" s="27" t="inlineStr">
        <is>
          <t>Confluent Cloud cluster metrics: received bytes per day</t>
        </is>
      </c>
      <c r="E20" s="27" t="inlineStr">
        <is>
          <t>Drives ingress, egress and storage pricing [C2].</t>
        </is>
      </c>
    </row>
    <row r="21" ht="15.5" customHeight="1">
      <c r="A21" s="27" t="inlineStr"/>
      <c r="B21" s="26" t="inlineStr">
        <is>
          <t>Retention</t>
        </is>
      </c>
      <c r="C21" s="27" t="inlineStr">
        <is>
          <t>Design decision</t>
        </is>
      </c>
      <c r="D21" s="27" t="inlineStr">
        <is>
          <t>Topic retention.ms</t>
        </is>
      </c>
      <c r="E21" s="27" t="inlineStr">
        <is>
          <t>Confluent topic default is 7 days [C3].</t>
        </is>
      </c>
    </row>
    <row r="22" ht="29" customHeight="1">
      <c r="A22" s="27" t="inlineStr"/>
      <c r="B22" s="26" t="inlineStr">
        <is>
          <t>Client connections and requests</t>
        </is>
      </c>
      <c r="C22" s="27" t="inlineStr">
        <is>
          <t>Not available from embedded Kafka in a comparable form</t>
        </is>
      </c>
      <c r="D22" s="27" t="inlineStr">
        <is>
          <t>Confluent Cloud cluster metrics for the DEV cluster under test load</t>
        </is>
      </c>
      <c r="E22" s="27" t="inlineStr">
        <is>
          <t>Pega publishes no figure. Leave blank until measured; the checks show it as not assessed.</t>
        </is>
      </c>
    </row>
    <row r="23" ht="15.5" customHeight="1">
      <c r="A23" s="27" t="inlineStr"/>
      <c r="B23" s="26" t="inlineStr">
        <is>
          <t>Largest message</t>
        </is>
      </c>
      <c r="C23" s="27" t="inlineStr">
        <is>
          <t>Application design</t>
        </is>
      </c>
      <c r="D23" s="27" t="inlineStr">
        <is>
          <t>Producer errors in Pega logs if the limit is reached</t>
        </is>
      </c>
      <c r="E23" s="27" t="inlineStr">
        <is>
          <t>Pega default limit 5,000,000 bytes [P1].</t>
        </is>
      </c>
    </row>
    <row r="24" ht="29" customHeight="1">
      <c r="A24" s="27" t="inlineStr"/>
      <c r="B24" s="26" t="inlineStr">
        <is>
          <t>Searchable data and documents</t>
        </is>
      </c>
      <c r="C24" s="27" t="inlineStr">
        <is>
          <t>Current 8.8 search index size and document counts</t>
        </is>
      </c>
      <c r="D24" s="27" t="inlineStr">
        <is>
          <t>GET _cat/indices?v (pri.store.size and docs.count) after the first SRS build [A1]</t>
        </is>
      </c>
      <c r="E24" s="27" t="inlineStr">
        <is>
          <t>Enter primary size only; the workbook adds replicas.</t>
        </is>
      </c>
    </row>
    <row r="25" ht="15.5" customHeight="1">
      <c r="A25" s="27" t="inlineStr"/>
      <c r="B25" s="26" t="inlineStr">
        <is>
          <t>Indexes and primary shards</t>
        </is>
      </c>
      <c r="C25" s="27" t="inlineStr">
        <is>
          <t>Current search indexes</t>
        </is>
      </c>
      <c r="D25" s="27" t="inlineStr">
        <is>
          <t>GET _cat/indices?v after the first SRS build</t>
        </is>
      </c>
      <c r="E25" s="27" t="inlineStr">
        <is>
          <t>OpenSearch default is one primary shard per index [O2].</t>
        </is>
      </c>
    </row>
    <row r="26" ht="15.5" customHeight="1">
      <c r="A26" s="27" t="inlineStr"/>
      <c r="B26" s="26" t="inlineStr">
        <is>
          <t>Growth and planning period</t>
        </is>
      </c>
      <c r="C26" s="27" t="inlineStr">
        <is>
          <t>Business plans</t>
        </is>
      </c>
      <c r="D26" s="27" t="inlineStr">
        <is>
          <t>-</t>
        </is>
      </c>
      <c r="E26" s="27" t="inlineStr">
        <is>
          <t>Applied to both services.</t>
        </is>
      </c>
    </row>
    <row r="28">
      <c r="A28" s="28" t="inlineStr">
        <is>
          <t>How the workbook sizes the services</t>
        </is>
      </c>
    </row>
    <row r="29" ht="69.5" customHeight="1">
      <c r="B29" s="26" t="inlineStr">
        <is>
          <t>Kafka</t>
        </is>
      </c>
      <c r="C29" s="27" t="inlineStr">
        <is>
          <t>Demand from all environments on a cluster is added up. Each figure is raised by the growth allowance and divided by the target utilisation. For each Confluent type, the units needed are the largest of planned demand divided by the per-unit limit for ingress, egress, partitions, compacted partitions, connections and requests, and the minimum units for the SLA [C1]. The first type that meets the SLA, networking and key requirements and fits within its maximum is recommended, unless the customer forces a type. Pega's Table 1 and partitions-per-broker table give a self-managed reference for comparison [P1][P5].</t>
        </is>
      </c>
      <c r="D29" s="23" t="n"/>
      <c r="E29" s="24" t="n"/>
    </row>
    <row r="30" ht="56" customHeight="1">
      <c r="B30" s="26" t="inlineStr">
        <is>
          <t>Search</t>
        </is>
      </c>
      <c r="C30" s="27" t="inlineStr">
        <is>
          <t>Pega's Default or Large profile gives the starting node sizes and counts [P2]. Storage is worked out with the AWS formula (replicas, indexing overhead, OS reserve and provider overhead) [A1]. The data-node count is the largest of: the Pega profile with the three-node HA rule, storage / disk per node, shards / 1,000 [O3], shards / (25 x heap) [A2], and replicas + 1 [O5]. With high availability it is rounded up to a multiple of the zone count [O1].</t>
        </is>
      </c>
      <c r="D30" s="23" t="n"/>
      <c r="E30" s="24" t="n"/>
    </row>
    <row r="31" ht="29" customHeight="1">
      <c r="B31" s="26" t="inlineStr">
        <is>
          <t>Pricing</t>
        </is>
      </c>
      <c r="C31" s="27" t="inlineStr">
        <is>
          <t>Confluent bills capacity units per hour, ingress and egress per GiB and storage per GiB-hour after replication [C2]. The workbook gives these quantities per month for Confluent to price. The search provider prices the nodes on the Search Request sheet.</t>
        </is>
      </c>
      <c r="D31" s="23" t="n"/>
      <c r="E31" s="24" t="n"/>
    </row>
  </sheetData>
  <sheetProtection selectLockedCells="0" selectUnlockedCells="0" sheet="1" objects="0" insertRows="1" insertHyperlinks="1" autoFilter="0" scenarios="0" formatColumns="0" deleteColumns="1" insertColumns="1" pivotTables="1" deleteRows="1" formatCells="0" formatRows="0" sort="0"/>
  <mergeCells count="12">
    <mergeCell ref="C30:E30"/>
    <mergeCell ref="C11:E11"/>
    <mergeCell ref="C5:E5"/>
    <mergeCell ref="C31:E31"/>
    <mergeCell ref="C8:E8"/>
    <mergeCell ref="C9:E9"/>
    <mergeCell ref="C4:E4"/>
    <mergeCell ref="C29:E29"/>
    <mergeCell ref="C7:E7"/>
    <mergeCell ref="C12:E12"/>
    <mergeCell ref="C6:E6"/>
    <mergeCell ref="C10:E10"/>
  </mergeCells>
  <printOptions horizontalCentered="1"/>
  <pageMargins left="0.75" right="0.75" top="1" bottom="1" header="0.5" footer="0.5"/>
  <pageSetup orientation="landscape" fitToHeight="0" fitToWidth="1"/>
  <headerFooter>
    <oddHeader/>
    <oddFooter>&amp;LPega '26 Kafka and OpenSearch sizing workbook v1.0&amp;C&amp;A  -  page &amp;P of &amp;N</oddFooter>
    <evenHeader/>
    <evenFooter/>
    <firstHeader/>
    <firstFooter/>
  </headerFooter>
</worksheet>
</file>

<file path=xl/worksheets/sheet3.xml><?xml version="1.0" encoding="utf-8"?>
<worksheet xmlns="http://schemas.openxmlformats.org/spreadsheetml/2006/main">
  <sheetPr>
    <tabColor rgb="00BF8F00"/>
    <outlinePr summaryBelow="1" summaryRight="1"/>
    <pageSetUpPr fitToPage="1"/>
  </sheetPr>
  <dimension ref="A1:H23"/>
  <sheetViews>
    <sheetView showGridLines="0" workbookViewId="0">
      <pane ySplit="3" topLeftCell="A4" activePane="bottomLeft" state="frozen"/>
      <selection pane="bottomLeft" activeCell="A1" sqref="A1"/>
    </sheetView>
  </sheetViews>
  <sheetFormatPr baseColWidth="8" defaultRowHeight="15"/>
  <cols>
    <col width="6" customWidth="1" min="1" max="1"/>
    <col width="26" customWidth="1" min="2" max="2"/>
    <col width="30" customWidth="1" min="3" max="3"/>
    <col width="16" customWidth="1" min="4" max="4"/>
    <col width="11" customWidth="1" min="5" max="5"/>
    <col width="14" customWidth="1" min="6" max="6"/>
    <col width="14" customWidth="1" min="7" max="7"/>
    <col width="44" customWidth="1" min="8" max="8"/>
  </cols>
  <sheetData>
    <row r="1">
      <c r="A1" s="21" t="inlineStr">
        <is>
          <t>1  Setup: programme details and environments</t>
        </is>
      </c>
    </row>
    <row r="2">
      <c r="A2" s="22" t="inlineStr">
        <is>
          <t>Enter the programme details and the environments. Assign each environment to a Kafka cluster (K1 to K6) and a search service (S1 to S6).</t>
        </is>
      </c>
    </row>
    <row r="4">
      <c r="B4" s="26" t="inlineStr">
        <is>
          <t>Customer</t>
        </is>
      </c>
      <c r="C4" s="13" t="inlineStr"/>
      <c r="D4" s="13" t="n"/>
      <c r="E4" s="13" t="n"/>
      <c r="F4" s="13" t="n"/>
    </row>
    <row r="5">
      <c r="B5" s="26" t="inlineStr">
        <is>
          <t>Programme</t>
        </is>
      </c>
      <c r="C5" s="13" t="inlineStr">
        <is>
          <t>Pega 8.8 to Pega Platform '26 (26.1.1) clone and upgrade on Azure AKS</t>
        </is>
      </c>
      <c r="D5" s="13" t="n"/>
      <c r="E5" s="13" t="n"/>
      <c r="F5" s="13" t="n"/>
    </row>
    <row r="6">
      <c r="B6" s="26" t="inlineStr">
        <is>
          <t>Prepared by</t>
        </is>
      </c>
      <c r="C6" s="13" t="inlineStr"/>
      <c r="D6" s="13" t="n"/>
      <c r="E6" s="13" t="n"/>
      <c r="F6" s="13" t="n"/>
    </row>
    <row r="7">
      <c r="B7" s="26" t="inlineStr">
        <is>
          <t>Date of inputs</t>
        </is>
      </c>
      <c r="C7" s="13" t="inlineStr"/>
      <c r="D7" s="13" t="n"/>
      <c r="E7" s="13" t="n"/>
      <c r="F7" s="13" t="n"/>
    </row>
    <row r="8">
      <c r="B8" s="26" t="inlineStr">
        <is>
          <t>Azure region</t>
        </is>
      </c>
      <c r="C8" s="13" t="inlineStr"/>
      <c r="D8" s="13" t="n"/>
      <c r="E8" s="13" t="n"/>
      <c r="F8" s="13" t="n"/>
    </row>
    <row r="9">
      <c r="B9" s="26" t="inlineStr">
        <is>
          <t>Target Pega version</t>
        </is>
      </c>
      <c r="C9" s="13" t="inlineStr">
        <is>
          <t>Pega Platform '26 (26.1.1)</t>
        </is>
      </c>
      <c r="D9" s="13" t="n"/>
      <c r="E9" s="13" t="n"/>
      <c r="F9" s="13" t="n"/>
    </row>
    <row r="10">
      <c r="B10" s="26" t="inlineStr">
        <is>
          <t>Source system</t>
        </is>
      </c>
      <c r="C10" s="13" t="inlineStr">
        <is>
          <t>Pega 8.8 with embedded Kafka (Stream service) and embedded search</t>
        </is>
      </c>
      <c r="D10" s="13" t="n"/>
      <c r="E10" s="13" t="n"/>
      <c r="F10" s="13" t="n"/>
    </row>
    <row r="11">
      <c r="B11" s="26" t="inlineStr">
        <is>
          <t>Workbook status</t>
        </is>
      </c>
      <c r="C11" s="13" t="inlineStr">
        <is>
          <t>Draft</t>
        </is>
      </c>
      <c r="D11" s="13" t="n"/>
      <c r="E11" s="13" t="n"/>
      <c r="F11" s="13" t="n"/>
    </row>
    <row r="13" ht="32" customHeight="1">
      <c r="A13" s="9" t="inlineStr">
        <is>
          <t>#</t>
        </is>
      </c>
      <c r="B13" s="9" t="inlineStr">
        <is>
          <t>Environment code</t>
        </is>
      </c>
      <c r="C13" s="9" t="inlineStr">
        <is>
          <t>Description</t>
        </is>
      </c>
      <c r="D13" s="9" t="inlineStr">
        <is>
          <t>Pega landscape</t>
        </is>
      </c>
      <c r="E13" s="9" t="inlineStr">
        <is>
          <t>In scope</t>
        </is>
      </c>
      <c r="F13" s="9" t="inlineStr">
        <is>
          <t>Kafka cluster</t>
        </is>
      </c>
      <c r="G13" s="9" t="inlineStr">
        <is>
          <t>Search service</t>
        </is>
      </c>
      <c r="H13" s="9" t="inlineStr">
        <is>
          <t>Notes</t>
        </is>
      </c>
    </row>
    <row r="14">
      <c r="A14" s="11" t="inlineStr">
        <is>
          <t>E1</t>
        </is>
      </c>
      <c r="B14" s="13" t="inlineStr">
        <is>
          <t>DEV</t>
        </is>
      </c>
      <c r="C14" s="13" t="inlineStr">
        <is>
          <t>Development</t>
        </is>
      </c>
      <c r="D14" s="29" t="inlineStr">
        <is>
          <t>Development</t>
        </is>
      </c>
      <c r="E14" s="29" t="inlineStr">
        <is>
          <t>Yes</t>
        </is>
      </c>
      <c r="F14" s="29" t="inlineStr">
        <is>
          <t>K1</t>
        </is>
      </c>
      <c r="G14" s="29" t="inlineStr">
        <is>
          <t>S1</t>
        </is>
      </c>
      <c r="H14" s="13" t="n"/>
    </row>
    <row r="15">
      <c r="A15" s="11" t="inlineStr">
        <is>
          <t>E2</t>
        </is>
      </c>
      <c r="B15" s="13" t="inlineStr">
        <is>
          <t>SIT</t>
        </is>
      </c>
      <c r="C15" s="13" t="inlineStr">
        <is>
          <t>System integration test</t>
        </is>
      </c>
      <c r="D15" s="29" t="inlineStr">
        <is>
          <t>Testing</t>
        </is>
      </c>
      <c r="E15" s="29" t="inlineStr">
        <is>
          <t>Yes</t>
        </is>
      </c>
      <c r="F15" s="29" t="inlineStr">
        <is>
          <t>K1</t>
        </is>
      </c>
      <c r="G15" s="29" t="inlineStr">
        <is>
          <t>S1</t>
        </is>
      </c>
      <c r="H15" s="13" t="n"/>
    </row>
    <row r="16">
      <c r="A16" s="11" t="inlineStr">
        <is>
          <t>E3</t>
        </is>
      </c>
      <c r="B16" s="13" t="inlineStr">
        <is>
          <t>UAT</t>
        </is>
      </c>
      <c r="C16" s="13" t="inlineStr">
        <is>
          <t>User acceptance test</t>
        </is>
      </c>
      <c r="D16" s="29" t="inlineStr">
        <is>
          <t>Testing</t>
        </is>
      </c>
      <c r="E16" s="29" t="inlineStr">
        <is>
          <t>Yes</t>
        </is>
      </c>
      <c r="F16" s="29" t="inlineStr">
        <is>
          <t>K1</t>
        </is>
      </c>
      <c r="G16" s="29" t="inlineStr">
        <is>
          <t>S1</t>
        </is>
      </c>
      <c r="H16" s="13" t="n"/>
    </row>
    <row r="17">
      <c r="A17" s="11" t="inlineStr">
        <is>
          <t>E4</t>
        </is>
      </c>
      <c r="B17" s="13" t="inlineStr">
        <is>
          <t>PERF</t>
        </is>
      </c>
      <c r="C17" s="13" t="inlineStr">
        <is>
          <t>Performance test</t>
        </is>
      </c>
      <c r="D17" s="29" t="inlineStr">
        <is>
          <t>Stage</t>
        </is>
      </c>
      <c r="E17" s="29" t="inlineStr">
        <is>
          <t>Yes</t>
        </is>
      </c>
      <c r="F17" s="29" t="inlineStr">
        <is>
          <t>K2</t>
        </is>
      </c>
      <c r="G17" s="29" t="inlineStr">
        <is>
          <t>S2</t>
        </is>
      </c>
      <c r="H17" s="13" t="n"/>
    </row>
    <row r="18">
      <c r="A18" s="11" t="inlineStr">
        <is>
          <t>E5</t>
        </is>
      </c>
      <c r="B18" s="13" t="inlineStr">
        <is>
          <t>PREPROD</t>
        </is>
      </c>
      <c r="C18" s="13" t="inlineStr">
        <is>
          <t>Pre-production</t>
        </is>
      </c>
      <c r="D18" s="29" t="inlineStr">
        <is>
          <t>Stage</t>
        </is>
      </c>
      <c r="E18" s="29" t="inlineStr">
        <is>
          <t>Yes</t>
        </is>
      </c>
      <c r="F18" s="29" t="inlineStr">
        <is>
          <t>K2</t>
        </is>
      </c>
      <c r="G18" s="29" t="inlineStr">
        <is>
          <t>S2</t>
        </is>
      </c>
      <c r="H18" s="13" t="n"/>
    </row>
    <row r="19">
      <c r="A19" s="11" t="inlineStr">
        <is>
          <t>E6</t>
        </is>
      </c>
      <c r="B19" s="13" t="inlineStr">
        <is>
          <t>PROD</t>
        </is>
      </c>
      <c r="C19" s="13" t="inlineStr">
        <is>
          <t>Production</t>
        </is>
      </c>
      <c r="D19" s="29" t="inlineStr">
        <is>
          <t>Production</t>
        </is>
      </c>
      <c r="E19" s="29" t="inlineStr">
        <is>
          <t>Yes</t>
        </is>
      </c>
      <c r="F19" s="29" t="inlineStr">
        <is>
          <t>K3</t>
        </is>
      </c>
      <c r="G19" s="29" t="inlineStr">
        <is>
          <t>S3</t>
        </is>
      </c>
      <c r="H19" s="13" t="n"/>
    </row>
    <row r="20">
      <c r="A20" s="11" t="inlineStr">
        <is>
          <t>E7</t>
        </is>
      </c>
      <c r="B20" s="13" t="n"/>
      <c r="C20" s="13" t="n"/>
      <c r="D20" s="29" t="n"/>
      <c r="E20" s="29" t="n"/>
      <c r="F20" s="29" t="n"/>
      <c r="G20" s="29" t="n"/>
      <c r="H20" s="13" t="n"/>
    </row>
    <row r="21">
      <c r="A21" s="11" t="inlineStr">
        <is>
          <t>E8</t>
        </is>
      </c>
      <c r="B21" s="13" t="n"/>
      <c r="C21" s="13" t="n"/>
      <c r="D21" s="29" t="n"/>
      <c r="E21" s="29" t="n"/>
      <c r="F21" s="29" t="n"/>
      <c r="G21" s="29" t="n"/>
      <c r="H21" s="13" t="n"/>
    </row>
    <row r="23" ht="30" customHeight="1">
      <c r="B23" s="30" t="inlineStr">
        <is>
          <t>Environment assignment used in the delivered template follows runbook v2.3 Section 5 (option B): DEV, SIT and UAT share K1 and S1; PERF and PREPROD share K2 and S2; PROD has K3 and S3. Change it if the design changes.</t>
        </is>
      </c>
    </row>
  </sheetData>
  <mergeCells count="9">
    <mergeCell ref="C9:F9"/>
    <mergeCell ref="C8:F8"/>
    <mergeCell ref="C4:F4"/>
    <mergeCell ref="C6:F6"/>
    <mergeCell ref="C7:F7"/>
    <mergeCell ref="C11:F11"/>
    <mergeCell ref="C10:F10"/>
    <mergeCell ref="C5:F5"/>
    <mergeCell ref="B23:H23"/>
  </mergeCells>
  <dataValidations count="5">
    <dataValidation sqref="C11" showDropDown="0" showInputMessage="0" showErrorMessage="0" allowBlank="1" type="list">
      <formula1>"Draft,For provider quote,Final"</formula1>
    </dataValidation>
    <dataValidation sqref="D14:D21" showDropDown="0" showInputMessage="0" showErrorMessage="0" allowBlank="1" errorTitle="Invalid entry" error="Choose a value from the list." type="list">
      <formula1>=LANDSCAPES</formula1>
    </dataValidation>
    <dataValidation sqref="E14:E21" showDropDown="0" showInputMessage="0" showErrorMessage="0" allowBlank="1" errorTitle="Invalid entry" error="Choose a value from the list." type="list">
      <formula1>"Yes,No"</formula1>
    </dataValidation>
    <dataValidation sqref="F14:F21" showDropDown="0" showInputMessage="0" showErrorMessage="0" allowBlank="1" errorTitle="Invalid entry" error="Choose a value from the list." type="list">
      <formula1>=KAFKA_IDS</formula1>
    </dataValidation>
    <dataValidation sqref="G14:G21" showDropDown="0" showInputMessage="0" showErrorMessage="0" allowBlank="1" errorTitle="Invalid entry" error="Choose a value from the list." type="list">
      <formula1>=SEARCH_IDS</formula1>
    </dataValidation>
  </dataValidations>
  <printOptions horizontalCentered="1"/>
  <pageMargins left="0.75" right="0.75" top="1" bottom="1" header="0.5" footer="0.5"/>
  <pageSetup orientation="landscape" fitToHeight="0" fitToWidth="1"/>
  <headerFooter>
    <oddHeader/>
    <oddFooter>&amp;LPega '26 Kafka and OpenSearch sizing workbook v1.0&amp;C&amp;A  -  page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tabColor rgb="00BF8F00"/>
    <outlinePr summaryBelow="1" summaryRight="1"/>
    <pageSetUpPr fitToPage="1"/>
  </sheetPr>
  <dimension ref="A1:K18"/>
  <sheetViews>
    <sheetView showGridLines="0" workbookViewId="0">
      <pane xSplit="5" ySplit="4" topLeftCell="F5"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11" customWidth="1" min="3" max="3"/>
    <col width="58" customWidth="1" min="4" max="4"/>
    <col width="9" customWidth="1" min="5" max="5"/>
    <col width="17" customWidth="1" min="6" max="6"/>
    <col width="17" customWidth="1" min="7" max="7"/>
    <col width="17" customWidth="1" min="8" max="8"/>
    <col width="17" customWidth="1" min="9" max="9"/>
    <col width="17" customWidth="1" min="10" max="10"/>
    <col width="17" customWidth="1" min="11" max="11"/>
  </cols>
  <sheetData>
    <row r="1">
      <c r="A1" s="21" t="inlineStr">
        <is>
          <t>2  Kafka clusters: requirements for each Confluent Cloud cluster</t>
        </is>
      </c>
    </row>
    <row r="2">
      <c r="A2" s="22" t="inlineStr">
        <is>
          <t>One column per cluster. Only clusters with environments assigned on the Setup sheet are sized.</t>
        </is>
      </c>
    </row>
    <row r="4" ht="30" customHeight="1">
      <c r="A4" s="9" t="inlineStr">
        <is>
          <t>Step</t>
        </is>
      </c>
      <c r="B4" s="9" t="inlineStr">
        <is>
          <t>Item</t>
        </is>
      </c>
      <c r="C4" s="9" t="inlineStr">
        <is>
          <t>Unit</t>
        </is>
      </c>
      <c r="D4" s="9" t="inlineStr">
        <is>
          <t>Guidance</t>
        </is>
      </c>
      <c r="E4" s="9" t="inlineStr">
        <is>
          <t>Ref</t>
        </is>
      </c>
      <c r="F4" s="9" t="inlineStr">
        <is>
          <t>K1</t>
        </is>
      </c>
      <c r="G4" s="9" t="inlineStr">
        <is>
          <t>K2</t>
        </is>
      </c>
      <c r="H4" s="9" t="inlineStr">
        <is>
          <t>K3</t>
        </is>
      </c>
      <c r="I4" s="9" t="inlineStr">
        <is>
          <t>K4</t>
        </is>
      </c>
      <c r="J4" s="9" t="inlineStr">
        <is>
          <t>K5</t>
        </is>
      </c>
      <c r="K4" s="9" t="inlineStr">
        <is>
          <t>K6</t>
        </is>
      </c>
    </row>
    <row r="5" ht="16" customHeight="1">
      <c r="A5" s="31" t="inlineStr">
        <is>
          <t>A. Identification</t>
        </is>
      </c>
      <c r="B5" s="32" t="n"/>
      <c r="C5" s="32" t="n"/>
      <c r="D5" s="32" t="n"/>
      <c r="E5" s="32" t="n"/>
      <c r="F5" s="32" t="n"/>
      <c r="G5" s="32" t="n"/>
      <c r="H5" s="32" t="n"/>
      <c r="I5" s="32" t="n"/>
      <c r="J5" s="32" t="n"/>
      <c r="K5" s="32" t="n"/>
    </row>
    <row r="6" ht="15.5" customHeight="1">
      <c r="A6" s="27" t="inlineStr">
        <is>
          <t>KC.01</t>
        </is>
      </c>
      <c r="B6" s="26" t="inlineStr">
        <is>
          <t>Cluster name</t>
        </is>
      </c>
      <c r="C6" s="27" t="inlineStr">
        <is>
          <t>text</t>
        </is>
      </c>
      <c r="D6" s="27" t="inlineStr">
        <is>
          <t>Name the customer will use with Confluent, for example cc-prd.</t>
        </is>
      </c>
      <c r="E6" s="27" t="inlineStr">
        <is>
          <t>-</t>
        </is>
      </c>
      <c r="F6" s="29" t="inlineStr">
        <is>
          <t>cc-np1</t>
        </is>
      </c>
      <c r="G6" s="29" t="inlineStr">
        <is>
          <t>cc-np2</t>
        </is>
      </c>
      <c r="H6" s="29" t="inlineStr">
        <is>
          <t>cc-prd</t>
        </is>
      </c>
      <c r="I6" s="29" t="inlineStr"/>
      <c r="J6" s="29" t="inlineStr"/>
      <c r="K6" s="29" t="inlineStr"/>
    </row>
    <row r="7" ht="15.5" customHeight="1">
      <c r="A7" s="27" t="inlineStr">
        <is>
          <t>KC.02</t>
        </is>
      </c>
      <c r="B7" s="26" t="inlineStr">
        <is>
          <t>Azure region</t>
        </is>
      </c>
      <c r="C7" s="27" t="inlineStr">
        <is>
          <t>text</t>
        </is>
      </c>
      <c r="D7" s="27" t="inlineStr">
        <is>
          <t>Leave blank to use the region on the Setup sheet.</t>
        </is>
      </c>
      <c r="E7" s="27" t="inlineStr">
        <is>
          <t>-</t>
        </is>
      </c>
      <c r="F7" s="29" t="inlineStr"/>
      <c r="G7" s="29" t="inlineStr"/>
      <c r="H7" s="29" t="inlineStr"/>
      <c r="I7" s="29" t="inlineStr"/>
      <c r="J7" s="29" t="inlineStr"/>
      <c r="K7" s="29" t="inlineStr"/>
    </row>
    <row r="8" ht="16" customHeight="1">
      <c r="A8" s="31" t="inlineStr">
        <is>
          <t>B. Service requirements (customer decisions)</t>
        </is>
      </c>
      <c r="B8" s="32" t="n"/>
      <c r="C8" s="32" t="n"/>
      <c r="D8" s="32" t="n"/>
      <c r="E8" s="32" t="n"/>
      <c r="F8" s="32" t="n"/>
      <c r="G8" s="32" t="n"/>
      <c r="H8" s="32" t="n"/>
      <c r="I8" s="32" t="n"/>
      <c r="J8" s="32" t="n"/>
      <c r="K8" s="32" t="n"/>
    </row>
    <row r="9" ht="42.5" customHeight="1">
      <c r="A9" s="27" t="inlineStr">
        <is>
          <t>KC.03</t>
        </is>
      </c>
      <c r="B9" s="26" t="inlineStr">
        <is>
          <t>Required availability SLA</t>
        </is>
      </c>
      <c r="C9" s="27" t="inlineStr">
        <is>
          <t>%</t>
        </is>
      </c>
      <c r="D9" s="27" t="inlineStr">
        <is>
          <t>99.5 % is only offered on Basic. 99.9 % needs 1 eCKU on Standard or Enterprise; 99.99 % needs 2 eCKU. Dedicated gives 99.95 % single-zone or 99.99 % multi-zone (2 CKU or more).</t>
        </is>
      </c>
      <c r="E9" s="27" t="inlineStr">
        <is>
          <t>C1</t>
        </is>
      </c>
      <c r="F9" s="29" t="inlineStr">
        <is>
          <t>99.9%</t>
        </is>
      </c>
      <c r="G9" s="29" t="inlineStr">
        <is>
          <t>99.99%</t>
        </is>
      </c>
      <c r="H9" s="29" t="inlineStr">
        <is>
          <t>99.99%</t>
        </is>
      </c>
      <c r="I9" s="29" t="inlineStr">
        <is>
          <t>99.99%</t>
        </is>
      </c>
      <c r="J9" s="29" t="inlineStr">
        <is>
          <t>99.99%</t>
        </is>
      </c>
      <c r="K9" s="29" t="inlineStr">
        <is>
          <t>99.99%</t>
        </is>
      </c>
    </row>
    <row r="10" ht="42.5" customHeight="1">
      <c r="A10" s="27" t="inlineStr">
        <is>
          <t>KC.04</t>
        </is>
      </c>
      <c r="B10" s="26" t="inlineStr">
        <is>
          <t>Private networking required</t>
        </is>
      </c>
      <c r="C10" s="27" t="inlineStr">
        <is>
          <t>Yes/No</t>
        </is>
      </c>
      <c r="D10" s="27" t="inlineStr">
        <is>
          <t>Yes if AKS must reach Kafka over Azure Private Link. Confluent positions Standard for public networking and Enterprise for private networking.</t>
        </is>
      </c>
      <c r="E10" s="27" t="inlineStr">
        <is>
          <t>C1</t>
        </is>
      </c>
      <c r="F10" s="29" t="inlineStr">
        <is>
          <t>Yes</t>
        </is>
      </c>
      <c r="G10" s="29" t="inlineStr">
        <is>
          <t>Yes</t>
        </is>
      </c>
      <c r="H10" s="29" t="inlineStr">
        <is>
          <t>Yes</t>
        </is>
      </c>
      <c r="I10" s="29" t="inlineStr">
        <is>
          <t>Yes</t>
        </is>
      </c>
      <c r="J10" s="29" t="inlineStr">
        <is>
          <t>Yes</t>
        </is>
      </c>
      <c r="K10" s="29" t="inlineStr">
        <is>
          <t>Yes</t>
        </is>
      </c>
    </row>
    <row r="11" ht="29" customHeight="1">
      <c r="A11" s="27" t="inlineStr">
        <is>
          <t>KC.05</t>
        </is>
      </c>
      <c r="B11" s="26" t="inlineStr">
        <is>
          <t>Self-managed encryption keys (BYOK)</t>
        </is>
      </c>
      <c r="C11" s="27" t="inlineStr">
        <is>
          <t>Yes/No</t>
        </is>
      </c>
      <c r="D11" s="27" t="inlineStr">
        <is>
          <t>On Azure, self-managed keys are available on Dedicated and Enterprise only, and are fixed at cluster creation.</t>
        </is>
      </c>
      <c r="E11" s="27" t="inlineStr">
        <is>
          <t>C4</t>
        </is>
      </c>
      <c r="F11" s="29" t="inlineStr">
        <is>
          <t>No</t>
        </is>
      </c>
      <c r="G11" s="29" t="inlineStr">
        <is>
          <t>No</t>
        </is>
      </c>
      <c r="H11" s="29" t="inlineStr">
        <is>
          <t>No</t>
        </is>
      </c>
      <c r="I11" s="29" t="inlineStr">
        <is>
          <t>No</t>
        </is>
      </c>
      <c r="J11" s="29" t="inlineStr">
        <is>
          <t>No</t>
        </is>
      </c>
      <c r="K11" s="29" t="inlineStr">
        <is>
          <t>No</t>
        </is>
      </c>
    </row>
    <row r="12" ht="29" customHeight="1">
      <c r="A12" s="27" t="inlineStr">
        <is>
          <t>KC.06</t>
        </is>
      </c>
      <c r="B12" s="26" t="inlineStr">
        <is>
          <t>Multi-zone required (Dedicated)</t>
        </is>
      </c>
      <c r="C12" s="27" t="inlineStr">
        <is>
          <t>Yes/No</t>
        </is>
      </c>
      <c r="D12" s="27" t="inlineStr">
        <is>
          <t>Applies only if Dedicated is chosen. Multi-zone needs at least 2 CKU and cannot be changed after creation.</t>
        </is>
      </c>
      <c r="E12" s="27" t="inlineStr">
        <is>
          <t>C1</t>
        </is>
      </c>
      <c r="F12" s="29" t="inlineStr">
        <is>
          <t>Yes</t>
        </is>
      </c>
      <c r="G12" s="29" t="inlineStr">
        <is>
          <t>Yes</t>
        </is>
      </c>
      <c r="H12" s="29" t="inlineStr">
        <is>
          <t>Yes</t>
        </is>
      </c>
      <c r="I12" s="29" t="inlineStr">
        <is>
          <t>Yes</t>
        </is>
      </c>
      <c r="J12" s="29" t="inlineStr">
        <is>
          <t>Yes</t>
        </is>
      </c>
      <c r="K12" s="29" t="inlineStr">
        <is>
          <t>Yes</t>
        </is>
      </c>
    </row>
    <row r="13" ht="42.5" customHeight="1">
      <c r="A13" s="27" t="inlineStr">
        <is>
          <t>KC.07</t>
        </is>
      </c>
      <c r="B13" s="26" t="inlineStr">
        <is>
          <t>Preferred cluster type</t>
        </is>
      </c>
      <c r="C13" s="27" t="inlineStr">
        <is>
          <t>list</t>
        </is>
      </c>
      <c r="D13" s="27" t="inlineStr">
        <is>
          <t>Auto lets the workbook choose the first suitable type in the order Basic, Standard, Enterprise, Dedicated. Choose a type to force it; the checks show whether it meets the requirements.</t>
        </is>
      </c>
      <c r="E13" s="27" t="inlineStr">
        <is>
          <t>C1</t>
        </is>
      </c>
      <c r="F13" s="29" t="inlineStr">
        <is>
          <t>Auto</t>
        </is>
      </c>
      <c r="G13" s="29" t="inlineStr">
        <is>
          <t>Auto</t>
        </is>
      </c>
      <c r="H13" s="29" t="inlineStr">
        <is>
          <t>Auto</t>
        </is>
      </c>
      <c r="I13" s="29" t="inlineStr">
        <is>
          <t>Auto</t>
        </is>
      </c>
      <c r="J13" s="29" t="inlineStr">
        <is>
          <t>Auto</t>
        </is>
      </c>
      <c r="K13" s="29" t="inlineStr">
        <is>
          <t>Auto</t>
        </is>
      </c>
    </row>
    <row r="14" ht="42.5" customHeight="1">
      <c r="A14" s="27" t="inlineStr">
        <is>
          <t>KC.08</t>
        </is>
      </c>
      <c r="B14" s="26" t="inlineStr">
        <is>
          <t>Confluent billing method</t>
        </is>
      </c>
      <c r="C14" s="27" t="inlineStr">
        <is>
          <t>list</t>
        </is>
      </c>
      <c r="D14" s="27" t="inlineStr">
        <is>
          <t>Sets the Dedicated purchase limit: 4 CKU with credit card, 24 CKU with invoice or marketplace billing. Higher limits are available by request.</t>
        </is>
      </c>
      <c r="E14" s="27" t="inlineStr">
        <is>
          <t>C1</t>
        </is>
      </c>
      <c r="F14" s="29" t="inlineStr">
        <is>
          <t>Invoice</t>
        </is>
      </c>
      <c r="G14" s="29" t="inlineStr">
        <is>
          <t>Invoice</t>
        </is>
      </c>
      <c r="H14" s="29" t="inlineStr">
        <is>
          <t>Invoice</t>
        </is>
      </c>
      <c r="I14" s="29" t="inlineStr">
        <is>
          <t>Invoice</t>
        </is>
      </c>
      <c r="J14" s="29" t="inlineStr">
        <is>
          <t>Invoice</t>
        </is>
      </c>
      <c r="K14" s="29" t="inlineStr">
        <is>
          <t>Invoice</t>
        </is>
      </c>
    </row>
    <row r="15" ht="16" customHeight="1">
      <c r="A15" s="31" t="inlineStr">
        <is>
          <t>C. Planning allowance (customer decisions)</t>
        </is>
      </c>
      <c r="B15" s="32" t="n"/>
      <c r="C15" s="32" t="n"/>
      <c r="D15" s="32" t="n"/>
      <c r="E15" s="32" t="n"/>
      <c r="F15" s="32" t="n"/>
      <c r="G15" s="32" t="n"/>
      <c r="H15" s="32" t="n"/>
      <c r="I15" s="32" t="n"/>
      <c r="J15" s="32" t="n"/>
      <c r="K15" s="32" t="n"/>
    </row>
    <row r="16" ht="29" customHeight="1">
      <c r="A16" s="27" t="inlineStr">
        <is>
          <t>KC.09</t>
        </is>
      </c>
      <c r="B16" s="26" t="inlineStr">
        <is>
          <t>Growth allowance over the planning period</t>
        </is>
      </c>
      <c r="C16" s="27" t="inlineStr">
        <is>
          <t>%</t>
        </is>
      </c>
      <c r="D16" s="27" t="inlineStr">
        <is>
          <t>Expected growth in partitions, throughput, connections and stored data. Pega publishes no growth figure; this is a business input.</t>
        </is>
      </c>
      <c r="E16" s="27" t="inlineStr">
        <is>
          <t>W</t>
        </is>
      </c>
      <c r="F16" s="33" t="n">
        <v>0.2</v>
      </c>
      <c r="G16" s="33" t="n">
        <v>0.2</v>
      </c>
      <c r="H16" s="33" t="n">
        <v>0.2</v>
      </c>
      <c r="I16" s="33" t="n">
        <v>0.2</v>
      </c>
      <c r="J16" s="33" t="n">
        <v>0.2</v>
      </c>
      <c r="K16" s="33" t="n">
        <v>0.2</v>
      </c>
    </row>
    <row r="17" ht="42.5" customHeight="1">
      <c r="A17" s="27" t="inlineStr">
        <is>
          <t>KC.10</t>
        </is>
      </c>
      <c r="B17" s="26" t="inlineStr">
        <is>
          <t>Target maximum utilisation</t>
        </is>
      </c>
      <c r="C17" s="27" t="inlineStr">
        <is>
          <t>%</t>
        </is>
      </c>
      <c r="D17" s="27" t="inlineStr">
        <is>
          <t>Planned capacity = demand x (1 + growth) / target. 70 % matches the average CPU level at which Pega advises a bigger node for its stream service. Change it if your policy differs.</t>
        </is>
      </c>
      <c r="E17" s="27" t="inlineStr">
        <is>
          <t>P5</t>
        </is>
      </c>
      <c r="F17" s="33" t="n">
        <v>0.7</v>
      </c>
      <c r="G17" s="33" t="n">
        <v>0.7</v>
      </c>
      <c r="H17" s="33" t="n">
        <v>0.7</v>
      </c>
      <c r="I17" s="33" t="n">
        <v>0.7</v>
      </c>
      <c r="J17" s="33" t="n">
        <v>0.7</v>
      </c>
      <c r="K17" s="33" t="n">
        <v>0.7</v>
      </c>
    </row>
    <row r="18" ht="15.5" customHeight="1">
      <c r="A18" s="27" t="inlineStr">
        <is>
          <t>KC.11</t>
        </is>
      </c>
      <c r="B18" s="26" t="inlineStr">
        <is>
          <t>Notes</t>
        </is>
      </c>
      <c r="C18" s="27" t="inlineStr">
        <is>
          <t>text</t>
        </is>
      </c>
      <c r="D18" s="27" t="inlineStr">
        <is>
          <t>Decisions or assumptions for this cluster.</t>
        </is>
      </c>
      <c r="E18" s="27" t="inlineStr">
        <is>
          <t>-</t>
        </is>
      </c>
      <c r="F18" s="29" t="n"/>
      <c r="G18" s="29" t="n"/>
      <c r="H18" s="29" t="n"/>
      <c r="I18" s="29" t="n"/>
      <c r="J18" s="29" t="n"/>
      <c r="K18" s="29" t="n"/>
    </row>
  </sheetData>
  <dataValidations count="6">
    <dataValidation sqref="F9:K9" showDropDown="0" showInputMessage="0" showErrorMessage="0" allowBlank="1" errorTitle="Invalid entry" error="Choose a value from the list." type="list">
      <formula1>"99.5%,99.9%,99.95%,99.99%"</formula1>
    </dataValidation>
    <dataValidation sqref="F10:K10" showDropDown="0" showInputMessage="0" showErrorMessage="0" allowBlank="1" errorTitle="Invalid entry" error="Choose a value from the list." type="list">
      <formula1>"Yes,No"</formula1>
    </dataValidation>
    <dataValidation sqref="F11:K11" showDropDown="0" showInputMessage="0" showErrorMessage="0" allowBlank="1" errorTitle="Invalid entry" error="Choose a value from the list." type="list">
      <formula1>"Yes,No"</formula1>
    </dataValidation>
    <dataValidation sqref="F12:K12" showDropDown="0" showInputMessage="0" showErrorMessage="0" allowBlank="1" errorTitle="Invalid entry" error="Choose a value from the list." type="list">
      <formula1>"Yes,No"</formula1>
    </dataValidation>
    <dataValidation sqref="F13:K13" showDropDown="0" showInputMessage="0" showErrorMessage="0" allowBlank="1" errorTitle="Invalid entry" error="Choose a value from the list." type="list">
      <formula1>"Auto,Basic,Standard,Enterprise,Dedicated"</formula1>
    </dataValidation>
    <dataValidation sqref="F14:K14" showDropDown="0" showInputMessage="0" showErrorMessage="0" allowBlank="1" errorTitle="Invalid entry" error="Choose a value from the list." type="list">
      <formula1>"Invoice,Credit card"</formula1>
    </dataValidation>
  </dataValidations>
  <printOptions horizontalCentered="1"/>
  <pageMargins left="0.75" right="0.75" top="1" bottom="1" header="0.5" footer="0.5"/>
  <pageSetup orientation="landscape" fitToHeight="0" fitToWidth="1"/>
  <headerFooter>
    <oddHeader/>
    <oddFooter>&amp;LPega '26 Kafka and OpenSearch sizing workbook v1.0&amp;C&amp;A  -  page &amp;P of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tabColor rgb="00BF8F00"/>
    <outlinePr summaryBelow="1" summaryRight="1"/>
    <pageSetUpPr fitToPage="1"/>
  </sheetPr>
  <dimension ref="A1:AC16"/>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1" customWidth="1" min="1" max="1"/>
    <col width="8" customWidth="1" min="2" max="2"/>
    <col width="12" customWidth="1" min="3" max="3"/>
    <col width="8" customWidth="1" min="4" max="4"/>
    <col width="11" customWidth="1" min="5" max="5"/>
    <col width="12" customWidth="1" min="6" max="6"/>
    <col width="11" customWidth="1" min="7" max="7"/>
    <col width="10" customWidth="1" min="8" max="8"/>
    <col width="10" customWidth="1" min="9" max="9"/>
    <col width="11" customWidth="1" min="10" max="10"/>
    <col width="10" customWidth="1" min="11" max="11"/>
    <col width="12" customWidth="1" min="12" max="12"/>
    <col width="10" customWidth="1" min="13" max="13"/>
    <col width="10" customWidth="1" min="14" max="14"/>
    <col width="10" customWidth="1" min="15" max="15"/>
    <col width="10" customWidth="1" min="16" max="16"/>
    <col width="10" customWidth="1" min="17" max="17"/>
    <col width="10" customWidth="1" min="18" max="18"/>
    <col width="13" customWidth="1" min="19" max="19"/>
    <col width="10" customWidth="1" min="20" max="20"/>
    <col width="10" customWidth="1" min="21" max="21"/>
    <col width="10" customWidth="1" min="22" max="22"/>
    <col width="9" customWidth="1" min="23" max="23"/>
    <col width="9" customWidth="1" min="24" max="24"/>
    <col width="11" customWidth="1" min="25" max="25"/>
    <col width="11" customWidth="1" min="26" max="26"/>
    <col width="11" customWidth="1" min="27" max="27"/>
    <col width="11" customWidth="1" min="28" max="28"/>
    <col width="24" customWidth="1" min="29" max="29"/>
  </cols>
  <sheetData>
    <row r="1">
      <c r="A1" s="21" t="inlineStr">
        <is>
          <t>3  Kafka demand per environment</t>
        </is>
      </c>
    </row>
    <row r="2">
      <c r="A2" s="22" t="inlineStr">
        <is>
          <t>One row per environment from the Setup sheet. Enter measured figures where available.</t>
        </is>
      </c>
    </row>
    <row r="5">
      <c r="A5" s="34" t="inlineStr">
        <is>
          <t>Environment</t>
        </is>
      </c>
      <c r="E5" s="34" t="inlineStr">
        <is>
          <t>Partitions</t>
        </is>
      </c>
      <c r="K5" s="34" t="inlineStr">
        <is>
          <t>Peak throughput</t>
        </is>
      </c>
      <c r="S5" s="34" t="inlineStr">
        <is>
          <t>Daily volume and storage</t>
        </is>
      </c>
      <c r="Z5" s="34" t="inlineStr">
        <is>
          <t>Connections, requests and message size</t>
        </is>
      </c>
    </row>
    <row r="6" ht="58" customHeight="1">
      <c r="A6" s="9" t="inlineStr">
        <is>
          <t>Environment</t>
        </is>
      </c>
      <c r="B6" s="9" t="inlineStr">
        <is>
          <t>Kafka cluster</t>
        </is>
      </c>
      <c r="C6" s="9" t="inlineStr">
        <is>
          <t>Pega landscape</t>
        </is>
      </c>
      <c r="D6" s="9" t="inlineStr">
        <is>
          <t>Landscape rank
(1-4)</t>
        </is>
      </c>
      <c r="E6" s="9" t="inlineStr">
        <is>
          <t>Input status
(list)</t>
        </is>
      </c>
      <c r="F6" s="9" t="inlineStr">
        <is>
          <t>Measured leader partitions
(count)</t>
        </is>
      </c>
      <c r="G6" s="9" t="inlineStr">
        <is>
          <t>Queue processors
(count)</t>
        </is>
      </c>
      <c r="H6" s="9" t="inlineStr">
        <is>
          <t>Other Pega topics
(count)</t>
        </is>
      </c>
      <c r="I6" s="9" t="inlineStr">
        <is>
          <t>Partitions per topic
(count)</t>
        </is>
      </c>
      <c r="J6" s="9" t="inlineStr">
        <is>
          <t>Leader partitions used
(count)</t>
        </is>
      </c>
      <c r="K6" s="9" t="inlineStr">
        <is>
          <t>Of which compacted
(count)</t>
        </is>
      </c>
      <c r="L6" s="9" t="inlineStr">
        <is>
          <t>Peak messages written per second
(msg/s)</t>
        </is>
      </c>
      <c r="M6" s="9" t="inlineStr">
        <is>
          <t>Average message size
(bytes)</t>
        </is>
      </c>
      <c r="N6" s="9" t="inlineStr">
        <is>
          <t>Measured peak write
(MBps)</t>
        </is>
      </c>
      <c r="O6" s="9" t="inlineStr">
        <is>
          <t>Peak write used
(MBps)</t>
        </is>
      </c>
      <c r="P6" s="9" t="inlineStr">
        <is>
          <t>Consumer fan-out
(reads per write)</t>
        </is>
      </c>
      <c r="Q6" s="9" t="inlineStr">
        <is>
          <t>Measured peak read
(MBps)</t>
        </is>
      </c>
      <c r="R6" s="9" t="inlineStr">
        <is>
          <t>Peak read used
(MBps)</t>
        </is>
      </c>
      <c r="S6" s="9" t="inlineStr">
        <is>
          <t>Messages written per day
(count)</t>
        </is>
      </c>
      <c r="T6" s="9" t="inlineStr">
        <is>
          <t>Measured GiB written per day
(GiB)</t>
        </is>
      </c>
      <c r="U6" s="9" t="inlineStr">
        <is>
          <t>GiB written per day used
(GiB)</t>
        </is>
      </c>
      <c r="V6" s="9" t="inlineStr">
        <is>
          <t>GiB read per day
(GiB)</t>
        </is>
      </c>
      <c r="W6" s="9" t="inlineStr">
        <is>
          <t>Retention
(hours)</t>
        </is>
      </c>
      <c r="X6" s="9" t="inlineStr">
        <is>
          <t>Compression ratio
(x)</t>
        </is>
      </c>
      <c r="Y6" s="9" t="inlineStr">
        <is>
          <t>Stored GiB (before replication)
(GiB)</t>
        </is>
      </c>
      <c r="Z6" s="9" t="inlineStr">
        <is>
          <t>Peak client connections
(count)</t>
        </is>
      </c>
      <c r="AA6" s="9" t="inlineStr">
        <is>
          <t>Peak requests per second
(req/s)</t>
        </is>
      </c>
      <c r="AB6" s="9" t="inlineStr">
        <is>
          <t>Largest message
(bytes)</t>
        </is>
      </c>
      <c r="AC6" s="9" t="inlineStr">
        <is>
          <t>Notes</t>
        </is>
      </c>
    </row>
    <row r="7" ht="18" customHeight="1">
      <c r="A7" s="11">
        <f>IF('1 Setup'!B14="","",'1 Setup'!B14)</f>
        <v/>
      </c>
      <c r="B7" s="11">
        <f>IF(AND('1 Setup'!E14="Yes",'1 Setup'!F14&lt;&gt;""),'1 Setup'!F14,"")</f>
        <v/>
      </c>
      <c r="C7" s="11">
        <f>IF('1 Setup'!D14="","",'1 Setup'!D14)</f>
        <v/>
      </c>
      <c r="D7" s="35">
        <f>IFERROR(MATCH(C7,LANDSCAPES,0),0)</f>
        <v/>
      </c>
      <c r="E7" s="29" t="inlineStr">
        <is>
          <t>Example</t>
        </is>
      </c>
      <c r="F7" s="36" t="n"/>
      <c r="G7" s="36" t="n">
        <v>120</v>
      </c>
      <c r="H7" s="36" t="n">
        <v>30</v>
      </c>
      <c r="I7" s="37" t="n">
        <v>6</v>
      </c>
      <c r="J7" s="38">
        <f>IF(F7&lt;&gt;"",F7,(G7+H7)*I7)</f>
        <v/>
      </c>
      <c r="K7" s="36" t="n">
        <v>0</v>
      </c>
      <c r="L7" s="36" t="n">
        <v>1000</v>
      </c>
      <c r="M7" s="36" t="n">
        <v>1000</v>
      </c>
      <c r="N7" s="39" t="n"/>
      <c r="O7" s="40">
        <f>IF(N7&lt;&gt;"",N7,L7*M7/W_BYTES_MB)</f>
        <v/>
      </c>
      <c r="P7" s="41" t="n">
        <v>2</v>
      </c>
      <c r="Q7" s="39" t="n"/>
      <c r="R7" s="40">
        <f>IF(Q7&lt;&gt;"",Q7,O7*P7)</f>
        <v/>
      </c>
      <c r="S7" s="36" t="n">
        <v>20000000</v>
      </c>
      <c r="T7" s="42" t="n"/>
      <c r="U7" s="43">
        <f>IF(T7&lt;&gt;"",T7,S7*M7/W_BYTES_GIB)</f>
        <v/>
      </c>
      <c r="V7" s="43">
        <f>IF(AND(Q7&lt;&gt;"",N7&lt;&gt;"",N7&gt;0),U7*Q7/N7,U7*P7)</f>
        <v/>
      </c>
      <c r="W7" s="36" t="n">
        <v>168</v>
      </c>
      <c r="X7" s="41" t="n">
        <v>1</v>
      </c>
      <c r="Y7" s="43">
        <f>IF(W7="",0,U7*W7/24/IF(X7&gt;0,X7,1))</f>
        <v/>
      </c>
      <c r="Z7" s="36" t="n">
        <v>600</v>
      </c>
      <c r="AA7" s="36" t="n">
        <v>1000</v>
      </c>
      <c r="AB7" s="36" t="n">
        <v>1000000</v>
      </c>
      <c r="AC7" s="13" t="inlineStr">
        <is>
          <t>Illustrative figures for the worked example. Replace with measured values.</t>
        </is>
      </c>
    </row>
    <row r="8" ht="18" customHeight="1">
      <c r="A8" s="11">
        <f>IF('1 Setup'!B15="","",'1 Setup'!B15)</f>
        <v/>
      </c>
      <c r="B8" s="11">
        <f>IF(AND('1 Setup'!E15="Yes",'1 Setup'!F15&lt;&gt;""),'1 Setup'!F15,"")</f>
        <v/>
      </c>
      <c r="C8" s="11">
        <f>IF('1 Setup'!D15="","",'1 Setup'!D15)</f>
        <v/>
      </c>
      <c r="D8" s="35">
        <f>IFERROR(MATCH(C8,LANDSCAPES,0),0)</f>
        <v/>
      </c>
      <c r="E8" s="29" t="inlineStr">
        <is>
          <t>Example</t>
        </is>
      </c>
      <c r="F8" s="36" t="n"/>
      <c r="G8" s="36" t="n">
        <v>120</v>
      </c>
      <c r="H8" s="36" t="n">
        <v>30</v>
      </c>
      <c r="I8" s="37" t="n">
        <v>6</v>
      </c>
      <c r="J8" s="38">
        <f>IF(F8&lt;&gt;"",F8,(G8+H8)*I8)</f>
        <v/>
      </c>
      <c r="K8" s="36" t="n">
        <v>0</v>
      </c>
      <c r="L8" s="36" t="n">
        <v>1500</v>
      </c>
      <c r="M8" s="36" t="n">
        <v>1000</v>
      </c>
      <c r="N8" s="39" t="n"/>
      <c r="O8" s="40">
        <f>IF(N8&lt;&gt;"",N8,L8*M8/W_BYTES_MB)</f>
        <v/>
      </c>
      <c r="P8" s="41" t="n">
        <v>2</v>
      </c>
      <c r="Q8" s="39" t="n"/>
      <c r="R8" s="40">
        <f>IF(Q8&lt;&gt;"",Q8,O8*P8)</f>
        <v/>
      </c>
      <c r="S8" s="36" t="n">
        <v>30000000</v>
      </c>
      <c r="T8" s="42" t="n"/>
      <c r="U8" s="43">
        <f>IF(T8&lt;&gt;"",T8,S8*M8/W_BYTES_GIB)</f>
        <v/>
      </c>
      <c r="V8" s="43">
        <f>IF(AND(Q8&lt;&gt;"",N8&lt;&gt;"",N8&gt;0),U8*Q8/N8,U8*P8)</f>
        <v/>
      </c>
      <c r="W8" s="36" t="n">
        <v>168</v>
      </c>
      <c r="X8" s="41" t="n">
        <v>1</v>
      </c>
      <c r="Y8" s="43">
        <f>IF(W8="",0,U8*W8/24/IF(X8&gt;0,X8,1))</f>
        <v/>
      </c>
      <c r="Z8" s="36" t="n">
        <v>600</v>
      </c>
      <c r="AA8" s="36" t="n">
        <v>1200</v>
      </c>
      <c r="AB8" s="36" t="n">
        <v>1000000</v>
      </c>
      <c r="AC8" s="13" t="inlineStr">
        <is>
          <t>Illustrative figures for the worked example. Replace with measured values.</t>
        </is>
      </c>
    </row>
    <row r="9" ht="18" customHeight="1">
      <c r="A9" s="11">
        <f>IF('1 Setup'!B16="","",'1 Setup'!B16)</f>
        <v/>
      </c>
      <c r="B9" s="11">
        <f>IF(AND('1 Setup'!E16="Yes",'1 Setup'!F16&lt;&gt;""),'1 Setup'!F16,"")</f>
        <v/>
      </c>
      <c r="C9" s="11">
        <f>IF('1 Setup'!D16="","",'1 Setup'!D16)</f>
        <v/>
      </c>
      <c r="D9" s="35">
        <f>IFERROR(MATCH(C9,LANDSCAPES,0),0)</f>
        <v/>
      </c>
      <c r="E9" s="29" t="inlineStr">
        <is>
          <t>Example</t>
        </is>
      </c>
      <c r="F9" s="36" t="n"/>
      <c r="G9" s="36" t="n">
        <v>120</v>
      </c>
      <c r="H9" s="36" t="n">
        <v>30</v>
      </c>
      <c r="I9" s="37" t="n">
        <v>6</v>
      </c>
      <c r="J9" s="38">
        <f>IF(F9&lt;&gt;"",F9,(G9+H9)*I9)</f>
        <v/>
      </c>
      <c r="K9" s="36" t="n">
        <v>0</v>
      </c>
      <c r="L9" s="36" t="n">
        <v>2000</v>
      </c>
      <c r="M9" s="36" t="n">
        <v>1000</v>
      </c>
      <c r="N9" s="39" t="n"/>
      <c r="O9" s="40">
        <f>IF(N9&lt;&gt;"",N9,L9*M9/W_BYTES_MB)</f>
        <v/>
      </c>
      <c r="P9" s="41" t="n">
        <v>2</v>
      </c>
      <c r="Q9" s="39" t="n"/>
      <c r="R9" s="40">
        <f>IF(Q9&lt;&gt;"",Q9,O9*P9)</f>
        <v/>
      </c>
      <c r="S9" s="36" t="n">
        <v>40000000</v>
      </c>
      <c r="T9" s="42" t="n"/>
      <c r="U9" s="43">
        <f>IF(T9&lt;&gt;"",T9,S9*M9/W_BYTES_GIB)</f>
        <v/>
      </c>
      <c r="V9" s="43">
        <f>IF(AND(Q9&lt;&gt;"",N9&lt;&gt;"",N9&gt;0),U9*Q9/N9,U9*P9)</f>
        <v/>
      </c>
      <c r="W9" s="36" t="n">
        <v>168</v>
      </c>
      <c r="X9" s="41" t="n">
        <v>1</v>
      </c>
      <c r="Y9" s="43">
        <f>IF(W9="",0,U9*W9/24/IF(X9&gt;0,X9,1))</f>
        <v/>
      </c>
      <c r="Z9" s="36" t="n">
        <v>800</v>
      </c>
      <c r="AA9" s="36" t="n">
        <v>1500</v>
      </c>
      <c r="AB9" s="36" t="n">
        <v>1000000</v>
      </c>
      <c r="AC9" s="13" t="inlineStr">
        <is>
          <t>Illustrative figures for the worked example. Replace with measured values.</t>
        </is>
      </c>
    </row>
    <row r="10" ht="18" customHeight="1">
      <c r="A10" s="11">
        <f>IF('1 Setup'!B17="","",'1 Setup'!B17)</f>
        <v/>
      </c>
      <c r="B10" s="11">
        <f>IF(AND('1 Setup'!E17="Yes",'1 Setup'!F17&lt;&gt;""),'1 Setup'!F17,"")</f>
        <v/>
      </c>
      <c r="C10" s="11">
        <f>IF('1 Setup'!D17="","",'1 Setup'!D17)</f>
        <v/>
      </c>
      <c r="D10" s="35">
        <f>IFERROR(MATCH(C10,LANDSCAPES,0),0)</f>
        <v/>
      </c>
      <c r="E10" s="29" t="inlineStr">
        <is>
          <t>Example</t>
        </is>
      </c>
      <c r="F10" s="36" t="n"/>
      <c r="G10" s="36" t="n">
        <v>120</v>
      </c>
      <c r="H10" s="36" t="n">
        <v>30</v>
      </c>
      <c r="I10" s="37" t="n">
        <v>6</v>
      </c>
      <c r="J10" s="38">
        <f>IF(F10&lt;&gt;"",F10,(G10+H10)*I10)</f>
        <v/>
      </c>
      <c r="K10" s="36" t="n">
        <v>0</v>
      </c>
      <c r="L10" s="36" t="n">
        <v>8000</v>
      </c>
      <c r="M10" s="36" t="n">
        <v>1000</v>
      </c>
      <c r="N10" s="39" t="n"/>
      <c r="O10" s="40">
        <f>IF(N10&lt;&gt;"",N10,L10*M10/W_BYTES_MB)</f>
        <v/>
      </c>
      <c r="P10" s="41" t="n">
        <v>2</v>
      </c>
      <c r="Q10" s="39" t="n"/>
      <c r="R10" s="40">
        <f>IF(Q10&lt;&gt;"",Q10,O10*P10)</f>
        <v/>
      </c>
      <c r="S10" s="36" t="n">
        <v>150000000</v>
      </c>
      <c r="T10" s="42" t="n"/>
      <c r="U10" s="43">
        <f>IF(T10&lt;&gt;"",T10,S10*M10/W_BYTES_GIB)</f>
        <v/>
      </c>
      <c r="V10" s="43">
        <f>IF(AND(Q10&lt;&gt;"",N10&lt;&gt;"",N10&gt;0),U10*Q10/N10,U10*P10)</f>
        <v/>
      </c>
      <c r="W10" s="36" t="n">
        <v>72</v>
      </c>
      <c r="X10" s="41" t="n">
        <v>1</v>
      </c>
      <c r="Y10" s="43">
        <f>IF(W10="",0,U10*W10/24/IF(X10&gt;0,X10,1))</f>
        <v/>
      </c>
      <c r="Z10" s="36" t="n">
        <v>1500</v>
      </c>
      <c r="AA10" s="36" t="n">
        <v>4000</v>
      </c>
      <c r="AB10" s="36" t="n">
        <v>2000000</v>
      </c>
      <c r="AC10" s="13" t="inlineStr">
        <is>
          <t>Illustrative figures for the worked example. Replace with measured values.</t>
        </is>
      </c>
    </row>
    <row r="11" ht="18" customHeight="1">
      <c r="A11" s="11">
        <f>IF('1 Setup'!B18="","",'1 Setup'!B18)</f>
        <v/>
      </c>
      <c r="B11" s="11">
        <f>IF(AND('1 Setup'!E18="Yes",'1 Setup'!F18&lt;&gt;""),'1 Setup'!F18,"")</f>
        <v/>
      </c>
      <c r="C11" s="11">
        <f>IF('1 Setup'!D18="","",'1 Setup'!D18)</f>
        <v/>
      </c>
      <c r="D11" s="35">
        <f>IFERROR(MATCH(C11,LANDSCAPES,0),0)</f>
        <v/>
      </c>
      <c r="E11" s="29" t="inlineStr">
        <is>
          <t>Example</t>
        </is>
      </c>
      <c r="F11" s="36" t="n"/>
      <c r="G11" s="36" t="n">
        <v>120</v>
      </c>
      <c r="H11" s="36" t="n">
        <v>30</v>
      </c>
      <c r="I11" s="37" t="n">
        <v>6</v>
      </c>
      <c r="J11" s="38">
        <f>IF(F11&lt;&gt;"",F11,(G11+H11)*I11)</f>
        <v/>
      </c>
      <c r="K11" s="36" t="n">
        <v>0</v>
      </c>
      <c r="L11" s="36" t="n">
        <v>4000</v>
      </c>
      <c r="M11" s="36" t="n">
        <v>1000</v>
      </c>
      <c r="N11" s="39" t="n"/>
      <c r="O11" s="40">
        <f>IF(N11&lt;&gt;"",N11,L11*M11/W_BYTES_MB)</f>
        <v/>
      </c>
      <c r="P11" s="41" t="n">
        <v>2</v>
      </c>
      <c r="Q11" s="39" t="n"/>
      <c r="R11" s="40">
        <f>IF(Q11&lt;&gt;"",Q11,O11*P11)</f>
        <v/>
      </c>
      <c r="S11" s="36" t="n">
        <v>80000000</v>
      </c>
      <c r="T11" s="42" t="n"/>
      <c r="U11" s="43">
        <f>IF(T11&lt;&gt;"",T11,S11*M11/W_BYTES_GIB)</f>
        <v/>
      </c>
      <c r="V11" s="43">
        <f>IF(AND(Q11&lt;&gt;"",N11&lt;&gt;"",N11&gt;0),U11*Q11/N11,U11*P11)</f>
        <v/>
      </c>
      <c r="W11" s="36" t="n">
        <v>168</v>
      </c>
      <c r="X11" s="41" t="n">
        <v>1</v>
      </c>
      <c r="Y11" s="43">
        <f>IF(W11="",0,U11*W11/24/IF(X11&gt;0,X11,1))</f>
        <v/>
      </c>
      <c r="Z11" s="36" t="n">
        <v>1500</v>
      </c>
      <c r="AA11" s="36" t="n">
        <v>3000</v>
      </c>
      <c r="AB11" s="36" t="n">
        <v>2000000</v>
      </c>
      <c r="AC11" s="13" t="inlineStr">
        <is>
          <t>Illustrative figures for the worked example. Replace with measured values.</t>
        </is>
      </c>
    </row>
    <row r="12" ht="18" customHeight="1">
      <c r="A12" s="11">
        <f>IF('1 Setup'!B19="","",'1 Setup'!B19)</f>
        <v/>
      </c>
      <c r="B12" s="11">
        <f>IF(AND('1 Setup'!E19="Yes",'1 Setup'!F19&lt;&gt;""),'1 Setup'!F19,"")</f>
        <v/>
      </c>
      <c r="C12" s="11">
        <f>IF('1 Setup'!D19="","",'1 Setup'!D19)</f>
        <v/>
      </c>
      <c r="D12" s="35">
        <f>IFERROR(MATCH(C12,LANDSCAPES,0),0)</f>
        <v/>
      </c>
      <c r="E12" s="29" t="inlineStr">
        <is>
          <t>Example</t>
        </is>
      </c>
      <c r="F12" s="36" t="n"/>
      <c r="G12" s="36" t="n">
        <v>120</v>
      </c>
      <c r="H12" s="36" t="n">
        <v>30</v>
      </c>
      <c r="I12" s="37" t="n">
        <v>6</v>
      </c>
      <c r="J12" s="38">
        <f>IF(F12&lt;&gt;"",F12,(G12+H12)*I12)</f>
        <v/>
      </c>
      <c r="K12" s="36" t="n">
        <v>0</v>
      </c>
      <c r="L12" s="36" t="n">
        <v>8000</v>
      </c>
      <c r="M12" s="36" t="n">
        <v>1000</v>
      </c>
      <c r="N12" s="39" t="n"/>
      <c r="O12" s="40">
        <f>IF(N12&lt;&gt;"",N12,L12*M12/W_BYTES_MB)</f>
        <v/>
      </c>
      <c r="P12" s="41" t="n">
        <v>2</v>
      </c>
      <c r="Q12" s="39" t="n"/>
      <c r="R12" s="40">
        <f>IF(Q12&lt;&gt;"",Q12,O12*P12)</f>
        <v/>
      </c>
      <c r="S12" s="36" t="n">
        <v>300000000</v>
      </c>
      <c r="T12" s="42" t="n"/>
      <c r="U12" s="43">
        <f>IF(T12&lt;&gt;"",T12,S12*M12/W_BYTES_GIB)</f>
        <v/>
      </c>
      <c r="V12" s="43">
        <f>IF(AND(Q12&lt;&gt;"",N12&lt;&gt;"",N12&gt;0),U12*Q12/N12,U12*P12)</f>
        <v/>
      </c>
      <c r="W12" s="36" t="n">
        <v>168</v>
      </c>
      <c r="X12" s="41" t="n">
        <v>1</v>
      </c>
      <c r="Y12" s="43">
        <f>IF(W12="",0,U12*W12/24/IF(X12&gt;0,X12,1))</f>
        <v/>
      </c>
      <c r="Z12" s="36" t="n">
        <v>1800</v>
      </c>
      <c r="AA12" s="36" t="n">
        <v>4000</v>
      </c>
      <c r="AB12" s="36" t="n">
        <v>2000000</v>
      </c>
      <c r="AC12" s="13" t="inlineStr">
        <is>
          <t>Illustrative figures for the worked example. Replace with measured values.</t>
        </is>
      </c>
    </row>
    <row r="13" ht="18" customHeight="1">
      <c r="A13" s="11">
        <f>IF('1 Setup'!B20="","",'1 Setup'!B20)</f>
        <v/>
      </c>
      <c r="B13" s="11">
        <f>IF(AND('1 Setup'!E20="Yes",'1 Setup'!F20&lt;&gt;""),'1 Setup'!F20,"")</f>
        <v/>
      </c>
      <c r="C13" s="11">
        <f>IF('1 Setup'!D20="","",'1 Setup'!D20)</f>
        <v/>
      </c>
      <c r="D13" s="35">
        <f>IFERROR(MATCH(C13,LANDSCAPES,0),0)</f>
        <v/>
      </c>
      <c r="E13" s="29" t="n"/>
      <c r="F13" s="36" t="n"/>
      <c r="G13" s="36" t="n"/>
      <c r="H13" s="36" t="n"/>
      <c r="I13" s="37" t="n">
        <v>6</v>
      </c>
      <c r="J13" s="38">
        <f>IF(F13&lt;&gt;"",F13,(G13+H13)*I13)</f>
        <v/>
      </c>
      <c r="K13" s="36" t="n"/>
      <c r="L13" s="36" t="n"/>
      <c r="M13" s="36" t="n"/>
      <c r="N13" s="39" t="n"/>
      <c r="O13" s="40">
        <f>IF(N13&lt;&gt;"",N13,L13*M13/W_BYTES_MB)</f>
        <v/>
      </c>
      <c r="P13" s="41" t="n">
        <v>1</v>
      </c>
      <c r="Q13" s="39" t="n"/>
      <c r="R13" s="40">
        <f>IF(Q13&lt;&gt;"",Q13,O13*P13)</f>
        <v/>
      </c>
      <c r="S13" s="36" t="n"/>
      <c r="T13" s="42" t="n"/>
      <c r="U13" s="43">
        <f>IF(T13&lt;&gt;"",T13,S13*M13/W_BYTES_GIB)</f>
        <v/>
      </c>
      <c r="V13" s="43">
        <f>IF(AND(Q13&lt;&gt;"",N13&lt;&gt;"",N13&gt;0),U13*Q13/N13,U13*P13)</f>
        <v/>
      </c>
      <c r="W13" s="36" t="n">
        <v>168</v>
      </c>
      <c r="X13" s="41" t="n">
        <v>1</v>
      </c>
      <c r="Y13" s="43">
        <f>IF(W13="",0,U13*W13/24/IF(X13&gt;0,X13,1))</f>
        <v/>
      </c>
      <c r="Z13" s="36" t="n"/>
      <c r="AA13" s="36" t="n"/>
      <c r="AB13" s="36" t="n"/>
      <c r="AC13" s="13" t="n"/>
    </row>
    <row r="14" ht="18" customHeight="1">
      <c r="A14" s="11">
        <f>IF('1 Setup'!B21="","",'1 Setup'!B21)</f>
        <v/>
      </c>
      <c r="B14" s="11">
        <f>IF(AND('1 Setup'!E21="Yes",'1 Setup'!F21&lt;&gt;""),'1 Setup'!F21,"")</f>
        <v/>
      </c>
      <c r="C14" s="11">
        <f>IF('1 Setup'!D21="","",'1 Setup'!D21)</f>
        <v/>
      </c>
      <c r="D14" s="35">
        <f>IFERROR(MATCH(C14,LANDSCAPES,0),0)</f>
        <v/>
      </c>
      <c r="E14" s="29" t="n"/>
      <c r="F14" s="36" t="n"/>
      <c r="G14" s="36" t="n"/>
      <c r="H14" s="36" t="n"/>
      <c r="I14" s="37" t="n">
        <v>6</v>
      </c>
      <c r="J14" s="38">
        <f>IF(F14&lt;&gt;"",F14,(G14+H14)*I14)</f>
        <v/>
      </c>
      <c r="K14" s="36" t="n"/>
      <c r="L14" s="36" t="n"/>
      <c r="M14" s="36" t="n"/>
      <c r="N14" s="39" t="n"/>
      <c r="O14" s="40">
        <f>IF(N14&lt;&gt;"",N14,L14*M14/W_BYTES_MB)</f>
        <v/>
      </c>
      <c r="P14" s="41" t="n">
        <v>1</v>
      </c>
      <c r="Q14" s="39" t="n"/>
      <c r="R14" s="40">
        <f>IF(Q14&lt;&gt;"",Q14,O14*P14)</f>
        <v/>
      </c>
      <c r="S14" s="36" t="n"/>
      <c r="T14" s="42" t="n"/>
      <c r="U14" s="43">
        <f>IF(T14&lt;&gt;"",T14,S14*M14/W_BYTES_GIB)</f>
        <v/>
      </c>
      <c r="V14" s="43">
        <f>IF(AND(Q14&lt;&gt;"",N14&lt;&gt;"",N14&gt;0),U14*Q14/N14,U14*P14)</f>
        <v/>
      </c>
      <c r="W14" s="36" t="n">
        <v>168</v>
      </c>
      <c r="X14" s="41" t="n">
        <v>1</v>
      </c>
      <c r="Y14" s="43">
        <f>IF(W14="",0,U14*W14/24/IF(X14&gt;0,X14,1))</f>
        <v/>
      </c>
      <c r="Z14" s="36" t="n"/>
      <c r="AA14" s="36" t="n"/>
      <c r="AB14" s="36" t="n"/>
      <c r="AC14" s="13" t="n"/>
    </row>
    <row r="16">
      <c r="A16" s="22" t="inlineStr">
        <is>
          <t>Yellow cells are inputs; grey cells are worked out. Hover over a column heading for guidance and the source. Where a measured figure is given it replaces the estimate beside it.</t>
        </is>
      </c>
    </row>
  </sheetData>
  <mergeCells count="5">
    <mergeCell ref="A5:D5"/>
    <mergeCell ref="E5:J5"/>
    <mergeCell ref="K5:R5"/>
    <mergeCell ref="S5:Y5"/>
    <mergeCell ref="Z5:AC5"/>
  </mergeCells>
  <dataValidations count="1">
    <dataValidation sqref="E7:E14" showDropDown="0" showInputMessage="0" showErrorMessage="0" allowBlank="1" type="list">
      <formula1>"Measured,Estimated,Example"</formula1>
    </dataValidation>
  </dataValidations>
  <printOptions horizontalCentered="1"/>
  <pageMargins left="0.75" right="0.75" top="1" bottom="1" header="0.5" footer="0.5"/>
  <pageSetup orientation="landscape" fitToHeight="0" fitToWidth="1"/>
  <headerFooter>
    <oddHeader/>
    <oddFooter>&amp;LPega '26 Kafka and OpenSearch sizing workbook v1.0&amp;C&amp;A  -  page &amp;P of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tabColor rgb="00BF8F00"/>
    <outlinePr summaryBelow="1" summaryRight="1"/>
    <pageSetUpPr fitToPage="1"/>
  </sheetPr>
  <dimension ref="A1:K25"/>
  <sheetViews>
    <sheetView showGridLines="0" workbookViewId="0">
      <pane xSplit="5" ySplit="4" topLeftCell="F5"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11" customWidth="1" min="3" max="3"/>
    <col width="58" customWidth="1" min="4" max="4"/>
    <col width="9" customWidth="1" min="5" max="5"/>
    <col width="17" customWidth="1" min="6" max="6"/>
    <col width="17" customWidth="1" min="7" max="7"/>
    <col width="17" customWidth="1" min="8" max="8"/>
    <col width="17" customWidth="1" min="9" max="9"/>
    <col width="17" customWidth="1" min="10" max="10"/>
    <col width="17" customWidth="1" min="11" max="11"/>
  </cols>
  <sheetData>
    <row r="1">
      <c r="A1" s="21" t="inlineStr">
        <is>
          <t>4  Search services: requirements for each managed OpenSearch service</t>
        </is>
      </c>
    </row>
    <row r="2">
      <c r="A2" s="22" t="inlineStr">
        <is>
          <t>One column per service. Only services with environments assigned on the Setup sheet are sized.</t>
        </is>
      </c>
    </row>
    <row r="4" ht="30" customHeight="1">
      <c r="A4" s="9" t="inlineStr">
        <is>
          <t>Step</t>
        </is>
      </c>
      <c r="B4" s="9" t="inlineStr">
        <is>
          <t>Item</t>
        </is>
      </c>
      <c r="C4" s="9" t="inlineStr">
        <is>
          <t>Unit</t>
        </is>
      </c>
      <c r="D4" s="9" t="inlineStr">
        <is>
          <t>Guidance</t>
        </is>
      </c>
      <c r="E4" s="9" t="inlineStr">
        <is>
          <t>Ref</t>
        </is>
      </c>
      <c r="F4" s="9" t="inlineStr">
        <is>
          <t>S1</t>
        </is>
      </c>
      <c r="G4" s="9" t="inlineStr">
        <is>
          <t>S2</t>
        </is>
      </c>
      <c r="H4" s="9" t="inlineStr">
        <is>
          <t>S3</t>
        </is>
      </c>
      <c r="I4" s="9" t="inlineStr">
        <is>
          <t>S4</t>
        </is>
      </c>
      <c r="J4" s="9" t="inlineStr">
        <is>
          <t>S5</t>
        </is>
      </c>
      <c r="K4" s="9" t="inlineStr">
        <is>
          <t>S6</t>
        </is>
      </c>
    </row>
    <row r="5" ht="16" customHeight="1">
      <c r="A5" s="31" t="inlineStr">
        <is>
          <t>A. Identification</t>
        </is>
      </c>
      <c r="B5" s="32" t="n"/>
      <c r="C5" s="32" t="n"/>
      <c r="D5" s="32" t="n"/>
      <c r="E5" s="32" t="n"/>
      <c r="F5" s="32" t="n"/>
      <c r="G5" s="32" t="n"/>
      <c r="H5" s="32" t="n"/>
      <c r="I5" s="32" t="n"/>
      <c r="J5" s="32" t="n"/>
      <c r="K5" s="32" t="n"/>
    </row>
    <row r="6" ht="29" customHeight="1">
      <c r="A6" s="27" t="inlineStr">
        <is>
          <t>SS.01</t>
        </is>
      </c>
      <c r="B6" s="26" t="inlineStr">
        <is>
          <t>Service name</t>
        </is>
      </c>
      <c r="C6" s="27" t="inlineStr">
        <is>
          <t>text</t>
        </is>
      </c>
      <c r="D6" s="27" t="inlineStr">
        <is>
          <t>Name the customer will use with the search provider, for example os-prd.</t>
        </is>
      </c>
      <c r="E6" s="27" t="inlineStr">
        <is>
          <t>-</t>
        </is>
      </c>
      <c r="F6" s="29" t="inlineStr">
        <is>
          <t>os-np1</t>
        </is>
      </c>
      <c r="G6" s="29" t="inlineStr">
        <is>
          <t>os-np2</t>
        </is>
      </c>
      <c r="H6" s="29" t="inlineStr">
        <is>
          <t>os-prd</t>
        </is>
      </c>
      <c r="I6" s="29" t="inlineStr"/>
      <c r="J6" s="29" t="inlineStr"/>
      <c r="K6" s="29" t="inlineStr"/>
    </row>
    <row r="7" ht="15.5" customHeight="1">
      <c r="A7" s="27" t="inlineStr">
        <is>
          <t>SS.02</t>
        </is>
      </c>
      <c r="B7" s="26" t="inlineStr">
        <is>
          <t>Azure region</t>
        </is>
      </c>
      <c r="C7" s="27" t="inlineStr">
        <is>
          <t>text</t>
        </is>
      </c>
      <c r="D7" s="27" t="inlineStr">
        <is>
          <t>Leave blank to use the region on the Setup sheet.</t>
        </is>
      </c>
      <c r="E7" s="27" t="inlineStr">
        <is>
          <t>-</t>
        </is>
      </c>
      <c r="F7" s="29" t="inlineStr"/>
      <c r="G7" s="29" t="inlineStr"/>
      <c r="H7" s="29" t="inlineStr"/>
      <c r="I7" s="29" t="inlineStr"/>
      <c r="J7" s="29" t="inlineStr"/>
      <c r="K7" s="29" t="inlineStr"/>
    </row>
    <row r="8" ht="16" customHeight="1">
      <c r="A8" s="31" t="inlineStr">
        <is>
          <t>B. Service requirements (customer decisions)</t>
        </is>
      </c>
      <c r="B8" s="32" t="n"/>
      <c r="C8" s="32" t="n"/>
      <c r="D8" s="32" t="n"/>
      <c r="E8" s="32" t="n"/>
      <c r="F8" s="32" t="n"/>
      <c r="G8" s="32" t="n"/>
      <c r="H8" s="32" t="n"/>
      <c r="I8" s="32" t="n"/>
      <c r="J8" s="32" t="n"/>
      <c r="K8" s="32" t="n"/>
    </row>
    <row r="9" ht="29" customHeight="1">
      <c r="A9" s="27" t="inlineStr">
        <is>
          <t>SS.03</t>
        </is>
      </c>
      <c r="B9" s="26" t="inlineStr">
        <is>
          <t>High availability required</t>
        </is>
      </c>
      <c r="C9" s="27" t="inlineStr">
        <is>
          <t>Yes/No</t>
        </is>
      </c>
      <c r="D9" s="27" t="inlineStr">
        <is>
          <t>Yes applies Pega's rule of at least three cluster manager nodes, three data nodes and three SRS pods.</t>
        </is>
      </c>
      <c r="E9" s="27" t="inlineStr">
        <is>
          <t>P2</t>
        </is>
      </c>
      <c r="F9" s="29" t="inlineStr">
        <is>
          <t>Yes</t>
        </is>
      </c>
      <c r="G9" s="29" t="inlineStr">
        <is>
          <t>Yes</t>
        </is>
      </c>
      <c r="H9" s="29" t="inlineStr">
        <is>
          <t>Yes</t>
        </is>
      </c>
      <c r="I9" s="29" t="inlineStr">
        <is>
          <t>Yes</t>
        </is>
      </c>
      <c r="J9" s="29" t="inlineStr">
        <is>
          <t>Yes</t>
        </is>
      </c>
      <c r="K9" s="29" t="inlineStr">
        <is>
          <t>Yes</t>
        </is>
      </c>
    </row>
    <row r="10" ht="29" customHeight="1">
      <c r="A10" s="27" t="inlineStr">
        <is>
          <t>SS.04</t>
        </is>
      </c>
      <c r="B10" s="26" t="inlineStr">
        <is>
          <t>Availability zones</t>
        </is>
      </c>
      <c r="C10" s="27" t="inlineStr">
        <is>
          <t>count</t>
        </is>
      </c>
      <c r="D10" s="27" t="inlineStr">
        <is>
          <t>With high availability, data nodes are rounded up to a multiple of the zone count, as OpenSearch advises for three zones.</t>
        </is>
      </c>
      <c r="E10" s="27" t="inlineStr">
        <is>
          <t>O1</t>
        </is>
      </c>
      <c r="F10" s="37" t="n">
        <v>3</v>
      </c>
      <c r="G10" s="37" t="n">
        <v>3</v>
      </c>
      <c r="H10" s="37" t="n">
        <v>3</v>
      </c>
      <c r="I10" s="37" t="n">
        <v>3</v>
      </c>
      <c r="J10" s="37" t="n">
        <v>3</v>
      </c>
      <c r="K10" s="37" t="n">
        <v>3</v>
      </c>
    </row>
    <row r="11" ht="56" customHeight="1">
      <c r="A11" s="27" t="inlineStr">
        <is>
          <t>SS.05</t>
        </is>
      </c>
      <c r="B11" s="26" t="inlineStr">
        <is>
          <t>Replicas per primary shard</t>
        </is>
      </c>
      <c r="C11" s="27" t="inlineStr">
        <is>
          <t>count</t>
        </is>
      </c>
      <c r="D11" s="27" t="inlineStr">
        <is>
          <t>OpenSearch default is 1. Each replica is a full extra copy and is placed on a different node from its primary, so replicas + 1 data nodes are needed. For a single-node test service, as in Pega's test rows, set 0.</t>
        </is>
      </c>
      <c r="E11" s="27" t="inlineStr">
        <is>
          <t>O2, O5</t>
        </is>
      </c>
      <c r="F11" s="37" t="n">
        <v>1</v>
      </c>
      <c r="G11" s="37" t="n">
        <v>1</v>
      </c>
      <c r="H11" s="37" t="n">
        <v>1</v>
      </c>
      <c r="I11" s="37" t="n">
        <v>1</v>
      </c>
      <c r="J11" s="37" t="n">
        <v>1</v>
      </c>
      <c r="K11" s="37" t="n">
        <v>1</v>
      </c>
    </row>
    <row r="12" ht="42.5" customHeight="1">
      <c r="A12" s="27" t="inlineStr">
        <is>
          <t>SS.06</t>
        </is>
      </c>
      <c r="B12" s="26" t="inlineStr">
        <is>
          <t>Pega sizing profile</t>
        </is>
      </c>
      <c r="C12" s="27" t="inlineStr">
        <is>
          <t>list</t>
        </is>
      </c>
      <c r="D12" s="27" t="inlineStr">
        <is>
          <t>Auto picks Large when searchable data reaches the 2 TB of Pega's large example, otherwise Default. Choose Minimum, Default or Large to override.</t>
        </is>
      </c>
      <c r="E12" s="27" t="inlineStr">
        <is>
          <t>P2</t>
        </is>
      </c>
      <c r="F12" s="29" t="inlineStr">
        <is>
          <t>Auto</t>
        </is>
      </c>
      <c r="G12" s="29" t="inlineStr">
        <is>
          <t>Auto</t>
        </is>
      </c>
      <c r="H12" s="29" t="inlineStr">
        <is>
          <t>Auto</t>
        </is>
      </c>
      <c r="I12" s="29" t="inlineStr">
        <is>
          <t>Auto</t>
        </is>
      </c>
      <c r="J12" s="29" t="inlineStr">
        <is>
          <t>Auto</t>
        </is>
      </c>
      <c r="K12" s="29" t="inlineStr">
        <is>
          <t>Auto</t>
        </is>
      </c>
    </row>
    <row r="13" ht="16" customHeight="1">
      <c r="A13" s="31" t="inlineStr">
        <is>
          <t>C. Provider storage overheads (replace with the provider's figures)</t>
        </is>
      </c>
      <c r="B13" s="32" t="n"/>
      <c r="C13" s="32" t="n"/>
      <c r="D13" s="32" t="n"/>
      <c r="E13" s="32" t="n"/>
      <c r="F13" s="32" t="n"/>
      <c r="G13" s="32" t="n"/>
      <c r="H13" s="32" t="n"/>
      <c r="I13" s="32" t="n"/>
      <c r="J13" s="32" t="n"/>
      <c r="K13" s="32" t="n"/>
    </row>
    <row r="14" ht="42.5" customHeight="1">
      <c r="A14" s="27" t="inlineStr">
        <is>
          <t>SS.07</t>
        </is>
      </c>
      <c r="B14" s="26" t="inlineStr">
        <is>
          <t>Provider storage overhead</t>
        </is>
      </c>
      <c r="C14" s="27" t="inlineStr">
        <is>
          <t>%</t>
        </is>
      </c>
      <c r="D14" s="27" t="inlineStr">
        <is>
          <t>Space the provider reserves on each node. 20 % is the AWS OpenSearch Service figure (capped at 20 GiB per instance). Ask your provider for theirs.</t>
        </is>
      </c>
      <c r="E14" s="27" t="inlineStr">
        <is>
          <t>A1</t>
        </is>
      </c>
      <c r="F14" s="33" t="n">
        <v>0.2</v>
      </c>
      <c r="G14" s="33" t="n">
        <v>0.2</v>
      </c>
      <c r="H14" s="33" t="n">
        <v>0.2</v>
      </c>
      <c r="I14" s="33" t="n">
        <v>0.2</v>
      </c>
      <c r="J14" s="33" t="n">
        <v>0.2</v>
      </c>
      <c r="K14" s="33" t="n">
        <v>0.2</v>
      </c>
    </row>
    <row r="15" ht="15.5" customHeight="1">
      <c r="A15" s="27" t="inlineStr">
        <is>
          <t>SS.08</t>
        </is>
      </c>
      <c r="B15" s="26" t="inlineStr">
        <is>
          <t>Operating system reserved space</t>
        </is>
      </c>
      <c r="C15" s="27" t="inlineStr">
        <is>
          <t>%</t>
        </is>
      </c>
      <c r="D15" s="27" t="inlineStr">
        <is>
          <t>Linux reserves 5 % of the file system by default.</t>
        </is>
      </c>
      <c r="E15" s="27" t="inlineStr">
        <is>
          <t>A1</t>
        </is>
      </c>
      <c r="F15" s="33" t="n">
        <v>0.05</v>
      </c>
      <c r="G15" s="33" t="n">
        <v>0.05</v>
      </c>
      <c r="H15" s="33" t="n">
        <v>0.05</v>
      </c>
      <c r="I15" s="33" t="n">
        <v>0.05</v>
      </c>
      <c r="J15" s="33" t="n">
        <v>0.05</v>
      </c>
      <c r="K15" s="33" t="n">
        <v>0.05</v>
      </c>
    </row>
    <row r="16" ht="15.5" customHeight="1">
      <c r="A16" s="27" t="inlineStr">
        <is>
          <t>SS.09</t>
        </is>
      </c>
      <c r="B16" s="26" t="inlineStr">
        <is>
          <t>Indexing overhead</t>
        </is>
      </c>
      <c r="C16" s="27" t="inlineStr">
        <is>
          <t>%</t>
        </is>
      </c>
      <c r="D16" s="27" t="inlineStr">
        <is>
          <t>Index size on disk relative to the source data; often about 10 %.</t>
        </is>
      </c>
      <c r="E16" s="27" t="inlineStr">
        <is>
          <t>A1</t>
        </is>
      </c>
      <c r="F16" s="33" t="n">
        <v>0.1</v>
      </c>
      <c r="G16" s="33" t="n">
        <v>0.1</v>
      </c>
      <c r="H16" s="33" t="n">
        <v>0.1</v>
      </c>
      <c r="I16" s="33" t="n">
        <v>0.1</v>
      </c>
      <c r="J16" s="33" t="n">
        <v>0.1</v>
      </c>
      <c r="K16" s="33" t="n">
        <v>0.1</v>
      </c>
    </row>
    <row r="17" ht="16" customHeight="1">
      <c r="A17" s="31" t="inlineStr">
        <is>
          <t>D. Data node size overrides (leave blank to use the Pega profile size)</t>
        </is>
      </c>
      <c r="B17" s="32" t="n"/>
      <c r="C17" s="32" t="n"/>
      <c r="D17" s="32" t="n"/>
      <c r="E17" s="32" t="n"/>
      <c r="F17" s="32" t="n"/>
      <c r="G17" s="32" t="n"/>
      <c r="H17" s="32" t="n"/>
      <c r="I17" s="32" t="n"/>
      <c r="J17" s="32" t="n"/>
      <c r="K17" s="32" t="n"/>
    </row>
    <row r="18" ht="15.5" customHeight="1">
      <c r="A18" s="27" t="inlineStr">
        <is>
          <t>SS.10</t>
        </is>
      </c>
      <c r="B18" s="26" t="inlineStr">
        <is>
          <t>Data node vCPU (override)</t>
        </is>
      </c>
      <c r="C18" s="27" t="inlineStr">
        <is>
          <t>vCPU</t>
        </is>
      </c>
      <c r="D18" s="27" t="inlineStr">
        <is>
          <t>Leave blank to use the Pega profile size.</t>
        </is>
      </c>
      <c r="E18" s="27" t="inlineStr">
        <is>
          <t>P2</t>
        </is>
      </c>
      <c r="F18" s="37" t="n">
        <v>4</v>
      </c>
      <c r="G18" s="37" t="n"/>
      <c r="H18" s="37" t="n"/>
      <c r="I18" s="37" t="n"/>
      <c r="J18" s="37" t="n"/>
      <c r="K18" s="37" t="n"/>
    </row>
    <row r="19" ht="29" customHeight="1">
      <c r="A19" s="27" t="inlineStr">
        <is>
          <t>SS.11</t>
        </is>
      </c>
      <c r="B19" s="26" t="inlineStr">
        <is>
          <t>Data node RAM (override)</t>
        </is>
      </c>
      <c r="C19" s="27" t="inlineStr">
        <is>
          <t>GB</t>
        </is>
      </c>
      <c r="D19" s="27" t="inlineStr">
        <is>
          <t>Leave blank to use the Pega profile size. Java heap is taken as half of RAM.</t>
        </is>
      </c>
      <c r="E19" s="27" t="inlineStr">
        <is>
          <t>P2, O4</t>
        </is>
      </c>
      <c r="F19" s="37" t="n">
        <v>16</v>
      </c>
      <c r="G19" s="37" t="n"/>
      <c r="H19" s="37" t="n"/>
      <c r="I19" s="37" t="n"/>
      <c r="J19" s="37" t="n"/>
      <c r="K19" s="37" t="n"/>
    </row>
    <row r="20" ht="29" customHeight="1">
      <c r="A20" s="27" t="inlineStr">
        <is>
          <t>SS.12</t>
        </is>
      </c>
      <c r="B20" s="26" t="inlineStr">
        <is>
          <t>Data node disk (override)</t>
        </is>
      </c>
      <c r="C20" s="27" t="inlineStr">
        <is>
          <t>GB</t>
        </is>
      </c>
      <c r="D20" s="27" t="inlineStr">
        <is>
          <t>Leave blank to use the Pega profile size. A larger disk can reduce the node count when storage drives it.</t>
        </is>
      </c>
      <c r="E20" s="27" t="inlineStr">
        <is>
          <t>P2</t>
        </is>
      </c>
      <c r="F20" s="36" t="n"/>
      <c r="G20" s="36" t="n"/>
      <c r="H20" s="36" t="n"/>
      <c r="I20" s="36" t="n"/>
      <c r="J20" s="36" t="n"/>
      <c r="K20" s="36" t="n"/>
    </row>
    <row r="21" ht="16" customHeight="1">
      <c r="A21" s="31" t="inlineStr">
        <is>
          <t>E. Service options</t>
        </is>
      </c>
      <c r="B21" s="32" t="n"/>
      <c r="C21" s="32" t="n"/>
      <c r="D21" s="32" t="n"/>
      <c r="E21" s="32" t="n"/>
      <c r="F21" s="32" t="n"/>
      <c r="G21" s="32" t="n"/>
      <c r="H21" s="32" t="n"/>
      <c r="I21" s="32" t="n"/>
      <c r="J21" s="32" t="n"/>
      <c r="K21" s="32" t="n"/>
    </row>
    <row r="22" ht="29" customHeight="1">
      <c r="A22" s="27" t="inlineStr">
        <is>
          <t>SS.13</t>
        </is>
      </c>
      <c r="B22" s="26" t="inlineStr">
        <is>
          <t>Engine version offered by the provider</t>
        </is>
      </c>
      <c r="C22" s="27" t="inlineStr">
        <is>
          <t>list</t>
        </is>
      </c>
      <c r="D22" s="27" t="inlineStr">
        <is>
          <t>Pega supports OpenSearch 1.3, 2.15 and 2.19 with the search-n-reporting-service-os image; 2.15 is Pega's best practice.</t>
        </is>
      </c>
      <c r="E22" s="27" t="inlineStr">
        <is>
          <t>P2</t>
        </is>
      </c>
      <c r="F22" s="29" t="inlineStr">
        <is>
          <t>OpenSearch 2.15</t>
        </is>
      </c>
      <c r="G22" s="29" t="inlineStr">
        <is>
          <t>OpenSearch 2.15</t>
        </is>
      </c>
      <c r="H22" s="29" t="inlineStr">
        <is>
          <t>OpenSearch 2.15</t>
        </is>
      </c>
      <c r="I22" s="29" t="inlineStr">
        <is>
          <t>OpenSearch 2.15</t>
        </is>
      </c>
      <c r="J22" s="29" t="inlineStr">
        <is>
          <t>OpenSearch 2.15</t>
        </is>
      </c>
      <c r="K22" s="29" t="inlineStr">
        <is>
          <t>OpenSearch 2.15</t>
        </is>
      </c>
    </row>
    <row r="23" ht="15.5" customHeight="1">
      <c r="A23" s="27" t="inlineStr">
        <is>
          <t>SS.14</t>
        </is>
      </c>
      <c r="B23" s="26" t="inlineStr">
        <is>
          <t>Private connectivity required</t>
        </is>
      </c>
      <c r="C23" s="27" t="inlineStr">
        <is>
          <t>Yes/No</t>
        </is>
      </c>
      <c r="D23" s="27" t="inlineStr">
        <is>
          <t>For the provider request only.</t>
        </is>
      </c>
      <c r="E23" s="27" t="inlineStr">
        <is>
          <t>-</t>
        </is>
      </c>
      <c r="F23" s="29" t="inlineStr">
        <is>
          <t>Yes</t>
        </is>
      </c>
      <c r="G23" s="29" t="inlineStr">
        <is>
          <t>Yes</t>
        </is>
      </c>
      <c r="H23" s="29" t="inlineStr">
        <is>
          <t>Yes</t>
        </is>
      </c>
      <c r="I23" s="29" t="inlineStr">
        <is>
          <t>Yes</t>
        </is>
      </c>
      <c r="J23" s="29" t="inlineStr">
        <is>
          <t>Yes</t>
        </is>
      </c>
      <c r="K23" s="29" t="inlineStr">
        <is>
          <t>Yes</t>
        </is>
      </c>
    </row>
    <row r="24" ht="15.5" customHeight="1">
      <c r="A24" s="27" t="inlineStr">
        <is>
          <t>SS.15</t>
        </is>
      </c>
      <c r="B24" s="26" t="inlineStr">
        <is>
          <t>Customer-managed encryption key</t>
        </is>
      </c>
      <c r="C24" s="27" t="inlineStr">
        <is>
          <t>Yes/No</t>
        </is>
      </c>
      <c r="D24" s="27" t="inlineStr">
        <is>
          <t>For the provider request only.</t>
        </is>
      </c>
      <c r="E24" s="27" t="inlineStr">
        <is>
          <t>-</t>
        </is>
      </c>
      <c r="F24" s="29" t="inlineStr">
        <is>
          <t>No</t>
        </is>
      </c>
      <c r="G24" s="29" t="inlineStr">
        <is>
          <t>No</t>
        </is>
      </c>
      <c r="H24" s="29" t="inlineStr">
        <is>
          <t>No</t>
        </is>
      </c>
      <c r="I24" s="29" t="inlineStr">
        <is>
          <t>No</t>
        </is>
      </c>
      <c r="J24" s="29" t="inlineStr">
        <is>
          <t>No</t>
        </is>
      </c>
      <c r="K24" s="29" t="inlineStr">
        <is>
          <t>No</t>
        </is>
      </c>
    </row>
    <row r="25" ht="15.5" customHeight="1">
      <c r="A25" s="27" t="inlineStr">
        <is>
          <t>SS.16</t>
        </is>
      </c>
      <c r="B25" s="26" t="inlineStr">
        <is>
          <t>Notes</t>
        </is>
      </c>
      <c r="C25" s="27" t="inlineStr">
        <is>
          <t>text</t>
        </is>
      </c>
      <c r="D25" s="27" t="inlineStr">
        <is>
          <t>Decisions or assumptions for this service.</t>
        </is>
      </c>
      <c r="E25" s="27" t="inlineStr">
        <is>
          <t>-</t>
        </is>
      </c>
      <c r="F25" s="29" t="n"/>
      <c r="G25" s="29" t="n"/>
      <c r="H25" s="29" t="n"/>
      <c r="I25" s="29" t="n"/>
      <c r="J25" s="29" t="n"/>
      <c r="K25" s="29" t="n"/>
    </row>
  </sheetData>
  <dataValidations count="7">
    <dataValidation sqref="F9:K9" showDropDown="0" showInputMessage="0" showErrorMessage="0" allowBlank="1" errorTitle="Invalid entry" error="Choose a value from the list." type="list">
      <formula1>"Yes,No"</formula1>
    </dataValidation>
    <dataValidation sqref="F10:K10" showDropDown="0" showInputMessage="0" showErrorMessage="0" allowBlank="1" errorTitle="Invalid entry" error="Choose a value from the list." type="list">
      <formula1>"1,2,3"</formula1>
    </dataValidation>
    <dataValidation sqref="F11:K11" showDropDown="0" showInputMessage="0" showErrorMessage="0" allowBlank="1" errorTitle="Invalid entry" error="Choose a value from the list." type="list">
      <formula1>"0,1,2"</formula1>
    </dataValidation>
    <dataValidation sqref="F12:K12" showDropDown="0" showInputMessage="0" showErrorMessage="0" allowBlank="1" errorTitle="Invalid entry" error="Choose a value from the list." type="list">
      <formula1>"Auto,Minimum,Default,Large"</formula1>
    </dataValidation>
    <dataValidation sqref="F22:K22" showDropDown="0" showInputMessage="0" showErrorMessage="0" allowBlank="1" errorTitle="Invalid entry" error="Choose a value from the list." type="list">
      <formula1>"OpenSearch 1.3,OpenSearch 2.15,OpenSearch 2.19,Other"</formula1>
    </dataValidation>
    <dataValidation sqref="F23:K23" showDropDown="0" showInputMessage="0" showErrorMessage="0" allowBlank="1" errorTitle="Invalid entry" error="Choose a value from the list." type="list">
      <formula1>"Yes,No"</formula1>
    </dataValidation>
    <dataValidation sqref="F24:K24" showDropDown="0" showInputMessage="0" showErrorMessage="0" allowBlank="1" errorTitle="Invalid entry" error="Choose a value from the list." type="list">
      <formula1>"Yes,No"</formula1>
    </dataValidation>
  </dataValidations>
  <printOptions horizontalCentered="1"/>
  <pageMargins left="0.75" right="0.75" top="1" bottom="1" header="0.5" footer="0.5"/>
  <pageSetup orientation="landscape" fitToHeight="0" fitToWidth="1"/>
  <headerFooter>
    <oddHeader/>
    <oddFooter>&amp;LPega '26 Kafka and OpenSearch sizing workbook v1.0&amp;C&amp;A  -  page &amp;P of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tabColor rgb="00BF8F00"/>
    <outlinePr summaryBelow="1" summaryRight="1"/>
    <pageSetUpPr fitToPage="1"/>
  </sheetPr>
  <dimension ref="A1:P16"/>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1" customWidth="1" min="1" max="1"/>
    <col width="8" customWidth="1" min="2" max="2"/>
    <col width="12" customWidth="1" min="3" max="3"/>
    <col width="8" customWidth="1" min="4" max="4"/>
    <col width="11" customWidth="1" min="5" max="5"/>
    <col width="12" customWidth="1" min="6" max="6"/>
    <col width="12" customWidth="1" min="7" max="7"/>
    <col width="9" customWidth="1" min="8" max="8"/>
    <col width="9" customWidth="1" min="9" max="9"/>
    <col width="9" customWidth="1" min="10" max="10"/>
    <col width="8" customWidth="1" min="11" max="11"/>
    <col width="10" customWidth="1" min="12" max="12"/>
    <col width="12" customWidth="1" min="13" max="13"/>
    <col width="12" customWidth="1" min="14" max="14"/>
    <col width="9" customWidth="1" min="15" max="15"/>
    <col width="24" customWidth="1" min="16" max="16"/>
  </cols>
  <sheetData>
    <row r="1">
      <c r="A1" s="21" t="inlineStr">
        <is>
          <t>5  Search demand per environment</t>
        </is>
      </c>
    </row>
    <row r="2">
      <c r="A2" s="22" t="inlineStr">
        <is>
          <t>One row per environment from the Setup sheet. Enter primary (not replicated) sizes.</t>
        </is>
      </c>
    </row>
    <row r="5">
      <c r="A5" s="34" t="inlineStr">
        <is>
          <t>Environment</t>
        </is>
      </c>
      <c r="E5" s="34" t="inlineStr">
        <is>
          <t>Inputs</t>
        </is>
      </c>
      <c r="M5" s="34" t="inlineStr">
        <is>
          <t>Worked out</t>
        </is>
      </c>
    </row>
    <row r="6" ht="58" customHeight="1">
      <c r="A6" s="9" t="inlineStr">
        <is>
          <t>Environment</t>
        </is>
      </c>
      <c r="B6" s="9" t="inlineStr">
        <is>
          <t>Search service</t>
        </is>
      </c>
      <c r="C6" s="9" t="inlineStr">
        <is>
          <t>Pega landscape</t>
        </is>
      </c>
      <c r="D6" s="9" t="inlineStr">
        <is>
          <t>Landscape rank
(1-4)</t>
        </is>
      </c>
      <c r="E6" s="9" t="inlineStr">
        <is>
          <t>Input status
(list)</t>
        </is>
      </c>
      <c r="F6" s="9" t="inlineStr">
        <is>
          <t>Searchable data today
(GB)</t>
        </is>
      </c>
      <c r="G6" s="9" t="inlineStr">
        <is>
          <t>Documents today
(count)</t>
        </is>
      </c>
      <c r="H6" s="9" t="inlineStr">
        <is>
          <t>Indexes
(count)</t>
        </is>
      </c>
      <c r="I6" s="9" t="inlineStr">
        <is>
          <t>Primary shards per index
(count)</t>
        </is>
      </c>
      <c r="J6" s="9" t="inlineStr">
        <is>
          <t>Annual growth
(%)</t>
        </is>
      </c>
      <c r="K6" s="9" t="inlineStr">
        <is>
          <t>Planning period
(years)</t>
        </is>
      </c>
      <c r="L6" s="9" t="inlineStr">
        <is>
          <t>Temporary extra data
(GB)</t>
        </is>
      </c>
      <c r="M6" s="9" t="inlineStr">
        <is>
          <t>Searchable data at end of period
(GB)</t>
        </is>
      </c>
      <c r="N6" s="9" t="inlineStr">
        <is>
          <t>Documents at end of period
(count)</t>
        </is>
      </c>
      <c r="O6" s="9" t="inlineStr">
        <is>
          <t>Primary shards
(count)</t>
        </is>
      </c>
      <c r="P6" s="9" t="inlineStr">
        <is>
          <t>Notes</t>
        </is>
      </c>
    </row>
    <row r="7" ht="18" customHeight="1">
      <c r="A7" s="11">
        <f>IF('1 Setup'!B14="","",'1 Setup'!B14)</f>
        <v/>
      </c>
      <c r="B7" s="11">
        <f>IF(AND('1 Setup'!E14="Yes",'1 Setup'!G14&lt;&gt;""),'1 Setup'!G14,"")</f>
        <v/>
      </c>
      <c r="C7" s="11">
        <f>IF('1 Setup'!D14="","",'1 Setup'!D14)</f>
        <v/>
      </c>
      <c r="D7" s="35">
        <f>IFERROR(MATCH(C7,LANDSCAPES,0),0)</f>
        <v/>
      </c>
      <c r="E7" s="29" t="inlineStr">
        <is>
          <t>Example</t>
        </is>
      </c>
      <c r="F7" s="42" t="n">
        <v>5</v>
      </c>
      <c r="G7" s="36" t="n">
        <v>100000</v>
      </c>
      <c r="H7" s="36" t="n">
        <v>60</v>
      </c>
      <c r="I7" s="37" t="n">
        <v>1</v>
      </c>
      <c r="J7" s="33" t="n">
        <v>0.2</v>
      </c>
      <c r="K7" s="37" t="n">
        <v>3</v>
      </c>
      <c r="L7" s="36" t="n">
        <v>0</v>
      </c>
      <c r="M7" s="43">
        <f>F7*(1+J7)^K7</f>
        <v/>
      </c>
      <c r="N7" s="38">
        <f>G7*(1+J7)^K7</f>
        <v/>
      </c>
      <c r="O7" s="38">
        <f>H7*I7</f>
        <v/>
      </c>
      <c r="P7" s="13" t="inlineStr">
        <is>
          <t>Illustrative figures for the worked example. Replace with measured values.</t>
        </is>
      </c>
    </row>
    <row r="8" ht="18" customHeight="1">
      <c r="A8" s="11">
        <f>IF('1 Setup'!B15="","",'1 Setup'!B15)</f>
        <v/>
      </c>
      <c r="B8" s="11">
        <f>IF(AND('1 Setup'!E15="Yes",'1 Setup'!G15&lt;&gt;""),'1 Setup'!G15,"")</f>
        <v/>
      </c>
      <c r="C8" s="11">
        <f>IF('1 Setup'!D15="","",'1 Setup'!D15)</f>
        <v/>
      </c>
      <c r="D8" s="35">
        <f>IFERROR(MATCH(C8,LANDSCAPES,0),0)</f>
        <v/>
      </c>
      <c r="E8" s="29" t="inlineStr">
        <is>
          <t>Example</t>
        </is>
      </c>
      <c r="F8" s="42" t="n">
        <v>10</v>
      </c>
      <c r="G8" s="36" t="n">
        <v>200000</v>
      </c>
      <c r="H8" s="36" t="n">
        <v>60</v>
      </c>
      <c r="I8" s="37" t="n">
        <v>1</v>
      </c>
      <c r="J8" s="33" t="n">
        <v>0.2</v>
      </c>
      <c r="K8" s="37" t="n">
        <v>3</v>
      </c>
      <c r="L8" s="36" t="n">
        <v>0</v>
      </c>
      <c r="M8" s="43">
        <f>F8*(1+J8)^K8</f>
        <v/>
      </c>
      <c r="N8" s="38">
        <f>G8*(1+J8)^K8</f>
        <v/>
      </c>
      <c r="O8" s="38">
        <f>H8*I8</f>
        <v/>
      </c>
      <c r="P8" s="13" t="inlineStr">
        <is>
          <t>Illustrative figures for the worked example. Replace with measured values.</t>
        </is>
      </c>
    </row>
    <row r="9" ht="18" customHeight="1">
      <c r="A9" s="11">
        <f>IF('1 Setup'!B16="","",'1 Setup'!B16)</f>
        <v/>
      </c>
      <c r="B9" s="11">
        <f>IF(AND('1 Setup'!E16="Yes",'1 Setup'!G16&lt;&gt;""),'1 Setup'!G16,"")</f>
        <v/>
      </c>
      <c r="C9" s="11">
        <f>IF('1 Setup'!D16="","",'1 Setup'!D16)</f>
        <v/>
      </c>
      <c r="D9" s="35">
        <f>IFERROR(MATCH(C9,LANDSCAPES,0),0)</f>
        <v/>
      </c>
      <c r="E9" s="29" t="inlineStr">
        <is>
          <t>Example</t>
        </is>
      </c>
      <c r="F9" s="42" t="n">
        <v>15</v>
      </c>
      <c r="G9" s="36" t="n">
        <v>300000</v>
      </c>
      <c r="H9" s="36" t="n">
        <v>60</v>
      </c>
      <c r="I9" s="37" t="n">
        <v>1</v>
      </c>
      <c r="J9" s="33" t="n">
        <v>0.2</v>
      </c>
      <c r="K9" s="37" t="n">
        <v>3</v>
      </c>
      <c r="L9" s="36" t="n">
        <v>0</v>
      </c>
      <c r="M9" s="43">
        <f>F9*(1+J9)^K9</f>
        <v/>
      </c>
      <c r="N9" s="38">
        <f>G9*(1+J9)^K9</f>
        <v/>
      </c>
      <c r="O9" s="38">
        <f>H9*I9</f>
        <v/>
      </c>
      <c r="P9" s="13" t="inlineStr">
        <is>
          <t>Illustrative figures for the worked example. Replace with measured values.</t>
        </is>
      </c>
    </row>
    <row r="10" ht="18" customHeight="1">
      <c r="A10" s="11">
        <f>IF('1 Setup'!B17="","",'1 Setup'!B17)</f>
        <v/>
      </c>
      <c r="B10" s="11">
        <f>IF(AND('1 Setup'!E17="Yes",'1 Setup'!G17&lt;&gt;""),'1 Setup'!G17,"")</f>
        <v/>
      </c>
      <c r="C10" s="11">
        <f>IF('1 Setup'!D17="","",'1 Setup'!D17)</f>
        <v/>
      </c>
      <c r="D10" s="35">
        <f>IFERROR(MATCH(C10,LANDSCAPES,0),0)</f>
        <v/>
      </c>
      <c r="E10" s="29" t="inlineStr">
        <is>
          <t>Example</t>
        </is>
      </c>
      <c r="F10" s="42" t="n">
        <v>40</v>
      </c>
      <c r="G10" s="36" t="n">
        <v>800000</v>
      </c>
      <c r="H10" s="36" t="n">
        <v>60</v>
      </c>
      <c r="I10" s="37" t="n">
        <v>1</v>
      </c>
      <c r="J10" s="33" t="n">
        <v>0.2</v>
      </c>
      <c r="K10" s="37" t="n">
        <v>3</v>
      </c>
      <c r="L10" s="36" t="n">
        <v>0</v>
      </c>
      <c r="M10" s="43">
        <f>F10*(1+J10)^K10</f>
        <v/>
      </c>
      <c r="N10" s="38">
        <f>G10*(1+J10)^K10</f>
        <v/>
      </c>
      <c r="O10" s="38">
        <f>H10*I10</f>
        <v/>
      </c>
      <c r="P10" s="13" t="inlineStr">
        <is>
          <t>Illustrative figures for the worked example. Replace with measured values.</t>
        </is>
      </c>
    </row>
    <row r="11" ht="18" customHeight="1">
      <c r="A11" s="11">
        <f>IF('1 Setup'!B18="","",'1 Setup'!B18)</f>
        <v/>
      </c>
      <c r="B11" s="11">
        <f>IF(AND('1 Setup'!E18="Yes",'1 Setup'!G18&lt;&gt;""),'1 Setup'!G18,"")</f>
        <v/>
      </c>
      <c r="C11" s="11">
        <f>IF('1 Setup'!D18="","",'1 Setup'!D18)</f>
        <v/>
      </c>
      <c r="D11" s="35">
        <f>IFERROR(MATCH(C11,LANDSCAPES,0),0)</f>
        <v/>
      </c>
      <c r="E11" s="29" t="inlineStr">
        <is>
          <t>Example</t>
        </is>
      </c>
      <c r="F11" s="42" t="n">
        <v>40</v>
      </c>
      <c r="G11" s="36" t="n">
        <v>800000</v>
      </c>
      <c r="H11" s="36" t="n">
        <v>60</v>
      </c>
      <c r="I11" s="37" t="n">
        <v>1</v>
      </c>
      <c r="J11" s="33" t="n">
        <v>0.2</v>
      </c>
      <c r="K11" s="37" t="n">
        <v>3</v>
      </c>
      <c r="L11" s="36" t="n">
        <v>0</v>
      </c>
      <c r="M11" s="43">
        <f>F11*(1+J11)^K11</f>
        <v/>
      </c>
      <c r="N11" s="38">
        <f>G11*(1+J11)^K11</f>
        <v/>
      </c>
      <c r="O11" s="38">
        <f>H11*I11</f>
        <v/>
      </c>
      <c r="P11" s="13" t="inlineStr">
        <is>
          <t>Illustrative figures for the worked example. Replace with measured values.</t>
        </is>
      </c>
    </row>
    <row r="12" ht="18" customHeight="1">
      <c r="A12" s="11">
        <f>IF('1 Setup'!B19="","",'1 Setup'!B19)</f>
        <v/>
      </c>
      <c r="B12" s="11">
        <f>IF(AND('1 Setup'!E19="Yes",'1 Setup'!G19&lt;&gt;""),'1 Setup'!G19,"")</f>
        <v/>
      </c>
      <c r="C12" s="11">
        <f>IF('1 Setup'!D19="","",'1 Setup'!D19)</f>
        <v/>
      </c>
      <c r="D12" s="35">
        <f>IFERROR(MATCH(C12,LANDSCAPES,0),0)</f>
        <v/>
      </c>
      <c r="E12" s="29" t="inlineStr">
        <is>
          <t>Example</t>
        </is>
      </c>
      <c r="F12" s="42" t="n">
        <v>40</v>
      </c>
      <c r="G12" s="36" t="n">
        <v>2000000</v>
      </c>
      <c r="H12" s="36" t="n">
        <v>60</v>
      </c>
      <c r="I12" s="37" t="n">
        <v>1</v>
      </c>
      <c r="J12" s="33" t="n">
        <v>0.2</v>
      </c>
      <c r="K12" s="37" t="n">
        <v>3</v>
      </c>
      <c r="L12" s="36" t="n">
        <v>0</v>
      </c>
      <c r="M12" s="43">
        <f>F12*(1+J12)^K12</f>
        <v/>
      </c>
      <c r="N12" s="38">
        <f>G12*(1+J12)^K12</f>
        <v/>
      </c>
      <c r="O12" s="38">
        <f>H12*I12</f>
        <v/>
      </c>
      <c r="P12" s="13" t="inlineStr">
        <is>
          <t>Illustrative figures for the worked example. Replace with measured values.</t>
        </is>
      </c>
    </row>
    <row r="13" ht="18" customHeight="1">
      <c r="A13" s="11">
        <f>IF('1 Setup'!B20="","",'1 Setup'!B20)</f>
        <v/>
      </c>
      <c r="B13" s="11">
        <f>IF(AND('1 Setup'!E20="Yes",'1 Setup'!G20&lt;&gt;""),'1 Setup'!G20,"")</f>
        <v/>
      </c>
      <c r="C13" s="11">
        <f>IF('1 Setup'!D20="","",'1 Setup'!D20)</f>
        <v/>
      </c>
      <c r="D13" s="35">
        <f>IFERROR(MATCH(C13,LANDSCAPES,0),0)</f>
        <v/>
      </c>
      <c r="E13" s="29" t="n"/>
      <c r="F13" s="42" t="n"/>
      <c r="G13" s="36" t="n"/>
      <c r="H13" s="36" t="n"/>
      <c r="I13" s="37" t="n">
        <v>1</v>
      </c>
      <c r="J13" s="33" t="n"/>
      <c r="K13" s="37" t="n"/>
      <c r="L13" s="36" t="n"/>
      <c r="M13" s="43">
        <f>F13*(1+J13)^K13</f>
        <v/>
      </c>
      <c r="N13" s="38">
        <f>G13*(1+J13)^K13</f>
        <v/>
      </c>
      <c r="O13" s="38">
        <f>H13*I13</f>
        <v/>
      </c>
      <c r="P13" s="13" t="n"/>
    </row>
    <row r="14" ht="18" customHeight="1">
      <c r="A14" s="11">
        <f>IF('1 Setup'!B21="","",'1 Setup'!B21)</f>
        <v/>
      </c>
      <c r="B14" s="11">
        <f>IF(AND('1 Setup'!E21="Yes",'1 Setup'!G21&lt;&gt;""),'1 Setup'!G21,"")</f>
        <v/>
      </c>
      <c r="C14" s="11">
        <f>IF('1 Setup'!D21="","",'1 Setup'!D21)</f>
        <v/>
      </c>
      <c r="D14" s="35">
        <f>IFERROR(MATCH(C14,LANDSCAPES,0),0)</f>
        <v/>
      </c>
      <c r="E14" s="29" t="n"/>
      <c r="F14" s="42" t="n"/>
      <c r="G14" s="36" t="n"/>
      <c r="H14" s="36" t="n"/>
      <c r="I14" s="37" t="n">
        <v>1</v>
      </c>
      <c r="J14" s="33" t="n"/>
      <c r="K14" s="37" t="n"/>
      <c r="L14" s="36" t="n"/>
      <c r="M14" s="43">
        <f>F14*(1+J14)^K14</f>
        <v/>
      </c>
      <c r="N14" s="38">
        <f>G14*(1+J14)^K14</f>
        <v/>
      </c>
      <c r="O14" s="38">
        <f>H14*I14</f>
        <v/>
      </c>
      <c r="P14" s="13" t="n"/>
    </row>
    <row r="16">
      <c r="A16" s="22" t="inlineStr">
        <is>
          <t>Yellow cells are inputs; grey cells are worked out. Hover over a column heading for guidance and the source. Where a measured figure is given it replaces the estimate beside it.</t>
        </is>
      </c>
    </row>
  </sheetData>
  <mergeCells count="3">
    <mergeCell ref="M5:P5"/>
    <mergeCell ref="A5:D5"/>
    <mergeCell ref="E5:L5"/>
  </mergeCells>
  <dataValidations count="1">
    <dataValidation sqref="E7:E14" showDropDown="0" showInputMessage="0" showErrorMessage="0" allowBlank="1" type="list">
      <formula1>"Measured,Estimated,Example"</formula1>
    </dataValidation>
  </dataValidations>
  <printOptions horizontalCentered="1"/>
  <pageMargins left="0.75" right="0.75" top="1" bottom="1" header="0.5" footer="0.5"/>
  <pageSetup orientation="landscape" fitToHeight="0" fitToWidth="1"/>
  <headerFooter>
    <oddHeader/>
    <oddFooter>&amp;LPega '26 Kafka and OpenSearch sizing workbook v1.0&amp;C&amp;A  -  page &amp;P of &amp;N</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tabColor rgb="00548235"/>
    <outlinePr summaryBelow="1" summaryRight="1"/>
    <pageSetUpPr fitToPage="1"/>
  </sheetPr>
  <dimension ref="A1:K128"/>
  <sheetViews>
    <sheetView showGridLines="0" workbookViewId="0">
      <pane xSplit="5" ySplit="4" topLeftCell="F5"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11" customWidth="1" min="3" max="3"/>
    <col width="58" customWidth="1" min="4" max="4"/>
    <col width="9" customWidth="1" min="5" max="5"/>
    <col width="17" customWidth="1" min="6" max="6"/>
    <col width="17" customWidth="1" min="7" max="7"/>
    <col width="17" customWidth="1" min="8" max="8"/>
    <col width="17" customWidth="1" min="9" max="9"/>
    <col width="17" customWidth="1" min="10" max="10"/>
    <col width="17" customWidth="1" min="11" max="11"/>
  </cols>
  <sheetData>
    <row r="1">
      <c r="A1" s="21" t="inlineStr">
        <is>
          <t>6  Kafka sizing: Confluent Cloud cluster type, units and pricing quantities</t>
        </is>
      </c>
    </row>
    <row r="2">
      <c r="A2" s="22" t="inlineStr">
        <is>
          <t>One column per Kafka cluster. Every figure is a formula; the 'How it is worked out' column and the Ref column explain each step. Green rows are the results.</t>
        </is>
      </c>
    </row>
    <row r="4" ht="30" customHeight="1">
      <c r="A4" s="9" t="inlineStr">
        <is>
          <t>Step</t>
        </is>
      </c>
      <c r="B4" s="9" t="inlineStr">
        <is>
          <t>Item</t>
        </is>
      </c>
      <c r="C4" s="9" t="inlineStr">
        <is>
          <t>Unit</t>
        </is>
      </c>
      <c r="D4" s="9" t="inlineStr">
        <is>
          <t>How it is worked out</t>
        </is>
      </c>
      <c r="E4" s="9" t="inlineStr">
        <is>
          <t>Ref</t>
        </is>
      </c>
      <c r="F4" s="9" t="inlineStr">
        <is>
          <t>K1</t>
        </is>
      </c>
      <c r="G4" s="9" t="inlineStr">
        <is>
          <t>K2</t>
        </is>
      </c>
      <c r="H4" s="9" t="inlineStr">
        <is>
          <t>K3</t>
        </is>
      </c>
      <c r="I4" s="9" t="inlineStr">
        <is>
          <t>K4</t>
        </is>
      </c>
      <c r="J4" s="9" t="inlineStr">
        <is>
          <t>K5</t>
        </is>
      </c>
      <c r="K4" s="9" t="inlineStr">
        <is>
          <t>K6</t>
        </is>
      </c>
    </row>
    <row r="5" ht="16" customHeight="1">
      <c r="A5" s="31" t="inlineStr">
        <is>
          <t>A. Environments on this cluster</t>
        </is>
      </c>
      <c r="B5" s="32" t="n"/>
      <c r="C5" s="32" t="n"/>
      <c r="D5" s="32" t="n"/>
      <c r="E5" s="32" t="n"/>
      <c r="F5" s="32" t="n"/>
      <c r="G5" s="32" t="n"/>
      <c r="H5" s="32" t="n"/>
      <c r="I5" s="32" t="n"/>
      <c r="J5" s="32" t="n"/>
      <c r="K5" s="32" t="n"/>
    </row>
    <row r="6" ht="15.5" customHeight="1">
      <c r="A6" s="27" t="inlineStr">
        <is>
          <t>K.01</t>
        </is>
      </c>
      <c r="B6" s="26" t="inlineStr">
        <is>
          <t>Environments assigned</t>
        </is>
      </c>
      <c r="C6" s="27" t="inlineStr">
        <is>
          <t>count</t>
        </is>
      </c>
      <c r="D6" s="27" t="inlineStr">
        <is>
          <t>In-scope environments assigned to this cluster on the Setup sheet.</t>
        </is>
      </c>
      <c r="E6" s="27" t="inlineStr">
        <is>
          <t>-</t>
        </is>
      </c>
      <c r="F6" s="35">
        <f>COUNTIF(KD_CLUSTER,F$4)</f>
        <v/>
      </c>
      <c r="G6" s="35">
        <f>COUNTIF(KD_CLUSTER,G$4)</f>
        <v/>
      </c>
      <c r="H6" s="35">
        <f>COUNTIF(KD_CLUSTER,H$4)</f>
        <v/>
      </c>
      <c r="I6" s="35">
        <f>COUNTIF(KD_CLUSTER,I$4)</f>
        <v/>
      </c>
      <c r="J6" s="35">
        <f>COUNTIF(KD_CLUSTER,J$4)</f>
        <v/>
      </c>
      <c r="K6" s="35">
        <f>COUNTIF(KD_CLUSTER,K$4)</f>
        <v/>
      </c>
    </row>
    <row r="7" ht="15.5" customHeight="1">
      <c r="A7" s="27" t="inlineStr">
        <is>
          <t>K.02</t>
        </is>
      </c>
      <c r="B7" s="26" t="inlineStr">
        <is>
          <t>Environment codes</t>
        </is>
      </c>
      <c r="C7" s="27" t="inlineStr">
        <is>
          <t>text</t>
        </is>
      </c>
      <c r="D7" s="27" t="inlineStr"/>
      <c r="E7" s="27" t="inlineStr">
        <is>
          <t>-</t>
        </is>
      </c>
      <c r="F7" s="11">
        <f>TRIM(IF('3 Kafka Demand'!$B$7=F$4,'3 Kafka Demand'!$A$7&amp;" ","")&amp;IF('3 Kafka Demand'!$B$8=F$4,'3 Kafka Demand'!$A$8&amp;" ","")&amp;IF('3 Kafka Demand'!$B$9=F$4,'3 Kafka Demand'!$A$9&amp;" ","")&amp;IF('3 Kafka Demand'!$B$10=F$4,'3 Kafka Demand'!$A$10&amp;" ","")&amp;IF('3 Kafka Demand'!$B$11=F$4,'3 Kafka Demand'!$A$11&amp;" ","")&amp;IF('3 Kafka Demand'!$B$12=F$4,'3 Kafka Demand'!$A$12&amp;" ","")&amp;IF('3 Kafka Demand'!$B$13=F$4,'3 Kafka Demand'!$A$13&amp;" ","")&amp;IF('3 Kafka Demand'!$B$14=F$4,'3 Kafka Demand'!$A$14&amp;" ",""))</f>
        <v/>
      </c>
      <c r="G7" s="11">
        <f>TRIM(IF('3 Kafka Demand'!$B$7=G$4,'3 Kafka Demand'!$A$7&amp;" ","")&amp;IF('3 Kafka Demand'!$B$8=G$4,'3 Kafka Demand'!$A$8&amp;" ","")&amp;IF('3 Kafka Demand'!$B$9=G$4,'3 Kafka Demand'!$A$9&amp;" ","")&amp;IF('3 Kafka Demand'!$B$10=G$4,'3 Kafka Demand'!$A$10&amp;" ","")&amp;IF('3 Kafka Demand'!$B$11=G$4,'3 Kafka Demand'!$A$11&amp;" ","")&amp;IF('3 Kafka Demand'!$B$12=G$4,'3 Kafka Demand'!$A$12&amp;" ","")&amp;IF('3 Kafka Demand'!$B$13=G$4,'3 Kafka Demand'!$A$13&amp;" ","")&amp;IF('3 Kafka Demand'!$B$14=G$4,'3 Kafka Demand'!$A$14&amp;" ",""))</f>
        <v/>
      </c>
      <c r="H7" s="11">
        <f>TRIM(IF('3 Kafka Demand'!$B$7=H$4,'3 Kafka Demand'!$A$7&amp;" ","")&amp;IF('3 Kafka Demand'!$B$8=H$4,'3 Kafka Demand'!$A$8&amp;" ","")&amp;IF('3 Kafka Demand'!$B$9=H$4,'3 Kafka Demand'!$A$9&amp;" ","")&amp;IF('3 Kafka Demand'!$B$10=H$4,'3 Kafka Demand'!$A$10&amp;" ","")&amp;IF('3 Kafka Demand'!$B$11=H$4,'3 Kafka Demand'!$A$11&amp;" ","")&amp;IF('3 Kafka Demand'!$B$12=H$4,'3 Kafka Demand'!$A$12&amp;" ","")&amp;IF('3 Kafka Demand'!$B$13=H$4,'3 Kafka Demand'!$A$13&amp;" ","")&amp;IF('3 Kafka Demand'!$B$14=H$4,'3 Kafka Demand'!$A$14&amp;" ",""))</f>
        <v/>
      </c>
      <c r="I7" s="11">
        <f>TRIM(IF('3 Kafka Demand'!$B$7=I$4,'3 Kafka Demand'!$A$7&amp;" ","")&amp;IF('3 Kafka Demand'!$B$8=I$4,'3 Kafka Demand'!$A$8&amp;" ","")&amp;IF('3 Kafka Demand'!$B$9=I$4,'3 Kafka Demand'!$A$9&amp;" ","")&amp;IF('3 Kafka Demand'!$B$10=I$4,'3 Kafka Demand'!$A$10&amp;" ","")&amp;IF('3 Kafka Demand'!$B$11=I$4,'3 Kafka Demand'!$A$11&amp;" ","")&amp;IF('3 Kafka Demand'!$B$12=I$4,'3 Kafka Demand'!$A$12&amp;" ","")&amp;IF('3 Kafka Demand'!$B$13=I$4,'3 Kafka Demand'!$A$13&amp;" ","")&amp;IF('3 Kafka Demand'!$B$14=I$4,'3 Kafka Demand'!$A$14&amp;" ",""))</f>
        <v/>
      </c>
      <c r="J7" s="11">
        <f>TRIM(IF('3 Kafka Demand'!$B$7=J$4,'3 Kafka Demand'!$A$7&amp;" ","")&amp;IF('3 Kafka Demand'!$B$8=J$4,'3 Kafka Demand'!$A$8&amp;" ","")&amp;IF('3 Kafka Demand'!$B$9=J$4,'3 Kafka Demand'!$A$9&amp;" ","")&amp;IF('3 Kafka Demand'!$B$10=J$4,'3 Kafka Demand'!$A$10&amp;" ","")&amp;IF('3 Kafka Demand'!$B$11=J$4,'3 Kafka Demand'!$A$11&amp;" ","")&amp;IF('3 Kafka Demand'!$B$12=J$4,'3 Kafka Demand'!$A$12&amp;" ","")&amp;IF('3 Kafka Demand'!$B$13=J$4,'3 Kafka Demand'!$A$13&amp;" ","")&amp;IF('3 Kafka Demand'!$B$14=J$4,'3 Kafka Demand'!$A$14&amp;" ",""))</f>
        <v/>
      </c>
      <c r="K7" s="11">
        <f>TRIM(IF('3 Kafka Demand'!$B$7=K$4,'3 Kafka Demand'!$A$7&amp;" ","")&amp;IF('3 Kafka Demand'!$B$8=K$4,'3 Kafka Demand'!$A$8&amp;" ","")&amp;IF('3 Kafka Demand'!$B$9=K$4,'3 Kafka Demand'!$A$9&amp;" ","")&amp;IF('3 Kafka Demand'!$B$10=K$4,'3 Kafka Demand'!$A$10&amp;" ","")&amp;IF('3 Kafka Demand'!$B$11=K$4,'3 Kafka Demand'!$A$11&amp;" ","")&amp;IF('3 Kafka Demand'!$B$12=K$4,'3 Kafka Demand'!$A$12&amp;" ","")&amp;IF('3 Kafka Demand'!$B$13=K$4,'3 Kafka Demand'!$A$13&amp;" ","")&amp;IF('3 Kafka Demand'!$B$14=K$4,'3 Kafka Demand'!$A$14&amp;" ",""))</f>
        <v/>
      </c>
    </row>
    <row r="8" ht="15.5" customHeight="1">
      <c r="A8" s="27" t="inlineStr">
        <is>
          <t>K.03</t>
        </is>
      </c>
      <c r="B8" s="26" t="inlineStr">
        <is>
          <t>Cluster name</t>
        </is>
      </c>
      <c r="C8" s="27" t="inlineStr">
        <is>
          <t>text</t>
        </is>
      </c>
      <c r="D8" s="27" t="inlineStr">
        <is>
          <t>From the Kafka Clusters sheet.</t>
        </is>
      </c>
      <c r="E8" s="27" t="inlineStr">
        <is>
          <t>-</t>
        </is>
      </c>
      <c r="F8" s="11">
        <f>IF('2 Kafka Clusters'!F6="",F$4,'2 Kafka Clusters'!F6)</f>
        <v/>
      </c>
      <c r="G8" s="11">
        <f>IF('2 Kafka Clusters'!G6="",G$4,'2 Kafka Clusters'!G6)</f>
        <v/>
      </c>
      <c r="H8" s="11">
        <f>IF('2 Kafka Clusters'!H6="",H$4,'2 Kafka Clusters'!H6)</f>
        <v/>
      </c>
      <c r="I8" s="11">
        <f>IF('2 Kafka Clusters'!I6="",I$4,'2 Kafka Clusters'!I6)</f>
        <v/>
      </c>
      <c r="J8" s="11">
        <f>IF('2 Kafka Clusters'!J6="",J$4,'2 Kafka Clusters'!J6)</f>
        <v/>
      </c>
      <c r="K8" s="11">
        <f>IF('2 Kafka Clusters'!K6="",K$4,'2 Kafka Clusters'!K6)</f>
        <v/>
      </c>
    </row>
    <row r="9" ht="15.5" customHeight="1">
      <c r="A9" s="27" t="inlineStr">
        <is>
          <t>K.04</t>
        </is>
      </c>
      <c r="B9" s="26" t="inlineStr">
        <is>
          <t>Most demanding landscape (rank)</t>
        </is>
      </c>
      <c r="C9" s="27" t="inlineStr">
        <is>
          <t>1-4</t>
        </is>
      </c>
      <c r="D9" s="27" t="inlineStr">
        <is>
          <t>1 Development, 2 Testing, 3 Stage, 4 Production.</t>
        </is>
      </c>
      <c r="E9" s="27" t="inlineStr">
        <is>
          <t>-</t>
        </is>
      </c>
      <c r="F9" s="35">
        <f>SUMPRODUCT(MAX((KD_CLUSTER=F$4)*KD_RANK))</f>
        <v/>
      </c>
      <c r="G9" s="35">
        <f>SUMPRODUCT(MAX((KD_CLUSTER=G$4)*KD_RANK))</f>
        <v/>
      </c>
      <c r="H9" s="35">
        <f>SUMPRODUCT(MAX((KD_CLUSTER=H$4)*KD_RANK))</f>
        <v/>
      </c>
      <c r="I9" s="35">
        <f>SUMPRODUCT(MAX((KD_CLUSTER=I$4)*KD_RANK))</f>
        <v/>
      </c>
      <c r="J9" s="35">
        <f>SUMPRODUCT(MAX((KD_CLUSTER=J$4)*KD_RANK))</f>
        <v/>
      </c>
      <c r="K9" s="35">
        <f>SUMPRODUCT(MAX((KD_CLUSTER=K$4)*KD_RANK))</f>
        <v/>
      </c>
    </row>
    <row r="10" ht="15.5" customHeight="1">
      <c r="A10" s="27" t="inlineStr">
        <is>
          <t>K.05</t>
        </is>
      </c>
      <c r="B10" s="26" t="inlineStr">
        <is>
          <t>Most demanding landscape</t>
        </is>
      </c>
      <c r="C10" s="27" t="inlineStr">
        <is>
          <t>text</t>
        </is>
      </c>
      <c r="D10" s="27" t="inlineStr"/>
      <c r="E10" s="27" t="inlineStr">
        <is>
          <t>P1</t>
        </is>
      </c>
      <c r="F10" s="11">
        <f>IF(F9=0,"-",INDEX(LANDSCAPES,F9))</f>
        <v/>
      </c>
      <c r="G10" s="11">
        <f>IF(G9=0,"-",INDEX(LANDSCAPES,G9))</f>
        <v/>
      </c>
      <c r="H10" s="11">
        <f>IF(H9=0,"-",INDEX(LANDSCAPES,H9))</f>
        <v/>
      </c>
      <c r="I10" s="11">
        <f>IF(I9=0,"-",INDEX(LANDSCAPES,I9))</f>
        <v/>
      </c>
      <c r="J10" s="11">
        <f>IF(J9=0,"-",INDEX(LANDSCAPES,J9))</f>
        <v/>
      </c>
      <c r="K10" s="11">
        <f>IF(K9=0,"-",INDEX(LANDSCAPES,K9))</f>
        <v/>
      </c>
    </row>
    <row r="11" ht="29" customHeight="1">
      <c r="A11" s="27" t="inlineStr">
        <is>
          <t>K.06</t>
        </is>
      </c>
      <c r="B11" s="26" t="inlineStr">
        <is>
          <t>Pega Kafka sizing row used</t>
        </is>
      </c>
      <c r="C11" s="27" t="inlineStr">
        <is>
          <t>text</t>
        </is>
      </c>
      <c r="D11" s="27" t="inlineStr">
        <is>
          <t>Production or Stage use Pega's Production row; Testing or Development use the Development row (W).</t>
        </is>
      </c>
      <c r="E11" s="27" t="inlineStr">
        <is>
          <t>P1, W</t>
        </is>
      </c>
      <c r="F11" s="11">
        <f>IF(F9=0,"-",IF(F9&gt;=3,"Production","Development"))</f>
        <v/>
      </c>
      <c r="G11" s="11">
        <f>IF(G9=0,"-",IF(G9&gt;=3,"Production","Development"))</f>
        <v/>
      </c>
      <c r="H11" s="11">
        <f>IF(H9=0,"-",IF(H9&gt;=3,"Production","Development"))</f>
        <v/>
      </c>
      <c r="I11" s="11">
        <f>IF(I9=0,"-",IF(I9&gt;=3,"Production","Development"))</f>
        <v/>
      </c>
      <c r="J11" s="11">
        <f>IF(J9=0,"-",IF(J9&gt;=3,"Production","Development"))</f>
        <v/>
      </c>
      <c r="K11" s="11">
        <f>IF(K9=0,"-",IF(K9&gt;=3,"Production","Development"))</f>
        <v/>
      </c>
    </row>
    <row r="12" ht="16" customHeight="1">
      <c r="A12" s="31" t="inlineStr">
        <is>
          <t>B. Demand: sum of the environments on this cluster (from the Kafka Demand sheet)</t>
        </is>
      </c>
      <c r="B12" s="32" t="n"/>
      <c r="C12" s="32" t="n"/>
      <c r="D12" s="32" t="n"/>
      <c r="E12" s="32" t="n"/>
      <c r="F12" s="32" t="n"/>
      <c r="G12" s="32" t="n"/>
      <c r="H12" s="32" t="n"/>
      <c r="I12" s="32" t="n"/>
      <c r="J12" s="32" t="n"/>
      <c r="K12" s="32" t="n"/>
    </row>
    <row r="13" ht="29" customHeight="1">
      <c r="A13" s="27" t="inlineStr">
        <is>
          <t>K.07</t>
        </is>
      </c>
      <c r="B13" s="26" t="inlineStr">
        <is>
          <t>Leader partitions</t>
        </is>
      </c>
      <c r="C13" s="27" t="inlineStr">
        <is>
          <t>count</t>
        </is>
      </c>
      <c r="D13" s="27" t="inlineStr">
        <is>
          <t>Sum of leader partitions. Confluent counts partitions before replication [C1].</t>
        </is>
      </c>
      <c r="E13" s="27" t="inlineStr">
        <is>
          <t>C1, P3</t>
        </is>
      </c>
      <c r="F13" s="38">
        <f>SUMIF(KD_CLUSTER,F$4,KD_PARTS)</f>
        <v/>
      </c>
      <c r="G13" s="38">
        <f>SUMIF(KD_CLUSTER,G$4,KD_PARTS)</f>
        <v/>
      </c>
      <c r="H13" s="38">
        <f>SUMIF(KD_CLUSTER,H$4,KD_PARTS)</f>
        <v/>
      </c>
      <c r="I13" s="38">
        <f>SUMIF(KD_CLUSTER,I$4,KD_PARTS)</f>
        <v/>
      </c>
      <c r="J13" s="38">
        <f>SUMIF(KD_CLUSTER,J$4,KD_PARTS)</f>
        <v/>
      </c>
      <c r="K13" s="38">
        <f>SUMIF(KD_CLUSTER,K$4,KD_PARTS)</f>
        <v/>
      </c>
    </row>
    <row r="14" ht="15.5" customHeight="1">
      <c r="A14" s="27" t="inlineStr">
        <is>
          <t>K.08</t>
        </is>
      </c>
      <c r="B14" s="26" t="inlineStr">
        <is>
          <t>Compacted partitions</t>
        </is>
      </c>
      <c r="C14" s="27" t="inlineStr">
        <is>
          <t>count</t>
        </is>
      </c>
      <c r="D14" s="27" t="inlineStr">
        <is>
          <t>Sum of compacted partitions.</t>
        </is>
      </c>
      <c r="E14" s="27" t="inlineStr">
        <is>
          <t>C1</t>
        </is>
      </c>
      <c r="F14" s="38">
        <f>SUMIF(KD_CLUSTER,F$4,KD_COMPACT)</f>
        <v/>
      </c>
      <c r="G14" s="38">
        <f>SUMIF(KD_CLUSTER,G$4,KD_COMPACT)</f>
        <v/>
      </c>
      <c r="H14" s="38">
        <f>SUMIF(KD_CLUSTER,H$4,KD_COMPACT)</f>
        <v/>
      </c>
      <c r="I14" s="38">
        <f>SUMIF(KD_CLUSTER,I$4,KD_COMPACT)</f>
        <v/>
      </c>
      <c r="J14" s="38">
        <f>SUMIF(KD_CLUSTER,J$4,KD_COMPACT)</f>
        <v/>
      </c>
      <c r="K14" s="38">
        <f>SUMIF(KD_CLUSTER,K$4,KD_COMPACT)</f>
        <v/>
      </c>
    </row>
    <row r="15" ht="29" customHeight="1">
      <c r="A15" s="27" t="inlineStr">
        <is>
          <t>K.09</t>
        </is>
      </c>
      <c r="B15" s="26" t="inlineStr">
        <is>
          <t>Peak write (ingress)</t>
        </is>
      </c>
      <c r="C15" s="27" t="inlineStr">
        <is>
          <t>MBps</t>
        </is>
      </c>
      <c r="D15" s="27" t="inlineStr">
        <is>
          <t>Sum of environment peaks. This is cautious because the peaks may not happen at the same time.</t>
        </is>
      </c>
      <c r="E15" s="27" t="inlineStr">
        <is>
          <t>-</t>
        </is>
      </c>
      <c r="F15" s="40">
        <f>SUMIF(KD_CLUSTER,F$4,KD_IN)</f>
        <v/>
      </c>
      <c r="G15" s="40">
        <f>SUMIF(KD_CLUSTER,G$4,KD_IN)</f>
        <v/>
      </c>
      <c r="H15" s="40">
        <f>SUMIF(KD_CLUSTER,H$4,KD_IN)</f>
        <v/>
      </c>
      <c r="I15" s="40">
        <f>SUMIF(KD_CLUSTER,I$4,KD_IN)</f>
        <v/>
      </c>
      <c r="J15" s="40">
        <f>SUMIF(KD_CLUSTER,J$4,KD_IN)</f>
        <v/>
      </c>
      <c r="K15" s="40">
        <f>SUMIF(KD_CLUSTER,K$4,KD_IN)</f>
        <v/>
      </c>
    </row>
    <row r="16" ht="15.5" customHeight="1">
      <c r="A16" s="27" t="inlineStr">
        <is>
          <t>K.10</t>
        </is>
      </c>
      <c r="B16" s="26" t="inlineStr">
        <is>
          <t>Peak read (egress)</t>
        </is>
      </c>
      <c r="C16" s="27" t="inlineStr">
        <is>
          <t>MBps</t>
        </is>
      </c>
      <c r="D16" s="27" t="inlineStr">
        <is>
          <t>Sum of environment peaks.</t>
        </is>
      </c>
      <c r="E16" s="27" t="inlineStr">
        <is>
          <t>-</t>
        </is>
      </c>
      <c r="F16" s="40">
        <f>SUMIF(KD_CLUSTER,F$4,KD_OUT)</f>
        <v/>
      </c>
      <c r="G16" s="40">
        <f>SUMIF(KD_CLUSTER,G$4,KD_OUT)</f>
        <v/>
      </c>
      <c r="H16" s="40">
        <f>SUMIF(KD_CLUSTER,H$4,KD_OUT)</f>
        <v/>
      </c>
      <c r="I16" s="40">
        <f>SUMIF(KD_CLUSTER,I$4,KD_OUT)</f>
        <v/>
      </c>
      <c r="J16" s="40">
        <f>SUMIF(KD_CLUSTER,J$4,KD_OUT)</f>
        <v/>
      </c>
      <c r="K16" s="40">
        <f>SUMIF(KD_CLUSTER,K$4,KD_OUT)</f>
        <v/>
      </c>
    </row>
    <row r="17" ht="15.5" customHeight="1">
      <c r="A17" s="27" t="inlineStr">
        <is>
          <t>K.11</t>
        </is>
      </c>
      <c r="B17" s="26" t="inlineStr">
        <is>
          <t>Peak client connections</t>
        </is>
      </c>
      <c r="C17" s="27" t="inlineStr">
        <is>
          <t>count</t>
        </is>
      </c>
      <c r="D17" s="27" t="inlineStr">
        <is>
          <t>Sum of environment peaks.</t>
        </is>
      </c>
      <c r="E17" s="27" t="inlineStr">
        <is>
          <t>-</t>
        </is>
      </c>
      <c r="F17" s="38">
        <f>SUMIF(KD_CLUSTER,F$4,KD_CONN)</f>
        <v/>
      </c>
      <c r="G17" s="38">
        <f>SUMIF(KD_CLUSTER,G$4,KD_CONN)</f>
        <v/>
      </c>
      <c r="H17" s="38">
        <f>SUMIF(KD_CLUSTER,H$4,KD_CONN)</f>
        <v/>
      </c>
      <c r="I17" s="38">
        <f>SUMIF(KD_CLUSTER,I$4,KD_CONN)</f>
        <v/>
      </c>
      <c r="J17" s="38">
        <f>SUMIF(KD_CLUSTER,J$4,KD_CONN)</f>
        <v/>
      </c>
      <c r="K17" s="38">
        <f>SUMIF(KD_CLUSTER,K$4,KD_CONN)</f>
        <v/>
      </c>
    </row>
    <row r="18" ht="15.5" customHeight="1">
      <c r="A18" s="27" t="inlineStr">
        <is>
          <t>K.12</t>
        </is>
      </c>
      <c r="B18" s="26" t="inlineStr">
        <is>
          <t>Peak requests per second</t>
        </is>
      </c>
      <c r="C18" s="27" t="inlineStr">
        <is>
          <t>req/s</t>
        </is>
      </c>
      <c r="D18" s="27" t="inlineStr">
        <is>
          <t>Sum of environment peaks.</t>
        </is>
      </c>
      <c r="E18" s="27" t="inlineStr">
        <is>
          <t>-</t>
        </is>
      </c>
      <c r="F18" s="38">
        <f>SUMIF(KD_CLUSTER,F$4,KD_REQ)</f>
        <v/>
      </c>
      <c r="G18" s="38">
        <f>SUMIF(KD_CLUSTER,G$4,KD_REQ)</f>
        <v/>
      </c>
      <c r="H18" s="38">
        <f>SUMIF(KD_CLUSTER,H$4,KD_REQ)</f>
        <v/>
      </c>
      <c r="I18" s="38">
        <f>SUMIF(KD_CLUSTER,I$4,KD_REQ)</f>
        <v/>
      </c>
      <c r="J18" s="38">
        <f>SUMIF(KD_CLUSTER,J$4,KD_REQ)</f>
        <v/>
      </c>
      <c r="K18" s="38">
        <f>SUMIF(KD_CLUSTER,K$4,KD_REQ)</f>
        <v/>
      </c>
    </row>
    <row r="19" ht="15.5" customHeight="1">
      <c r="A19" s="27" t="inlineStr">
        <is>
          <t>K.13</t>
        </is>
      </c>
      <c r="B19" s="26" t="inlineStr">
        <is>
          <t>Largest message</t>
        </is>
      </c>
      <c r="C19" s="27" t="inlineStr">
        <is>
          <t>bytes</t>
        </is>
      </c>
      <c r="D19" s="27" t="inlineStr">
        <is>
          <t>Largest of the environment figures.</t>
        </is>
      </c>
      <c r="E19" s="27" t="inlineStr">
        <is>
          <t>-</t>
        </is>
      </c>
      <c r="F19" s="38">
        <f>SUMPRODUCT(MAX((KD_CLUSTER=F$4)*KD_MSGMAX))</f>
        <v/>
      </c>
      <c r="G19" s="38">
        <f>SUMPRODUCT(MAX((KD_CLUSTER=G$4)*KD_MSGMAX))</f>
        <v/>
      </c>
      <c r="H19" s="38">
        <f>SUMPRODUCT(MAX((KD_CLUSTER=H$4)*KD_MSGMAX))</f>
        <v/>
      </c>
      <c r="I19" s="38">
        <f>SUMPRODUCT(MAX((KD_CLUSTER=I$4)*KD_MSGMAX))</f>
        <v/>
      </c>
      <c r="J19" s="38">
        <f>SUMPRODUCT(MAX((KD_CLUSTER=J$4)*KD_MSGMAX))</f>
        <v/>
      </c>
      <c r="K19" s="38">
        <f>SUMPRODUCT(MAX((KD_CLUSTER=K$4)*KD_MSGMAX))</f>
        <v/>
      </c>
    </row>
    <row r="20" ht="15.5" customHeight="1">
      <c r="A20" s="27" t="inlineStr">
        <is>
          <t>K.14</t>
        </is>
      </c>
      <c r="B20" s="26" t="inlineStr">
        <is>
          <t>GiB written per day</t>
        </is>
      </c>
      <c r="C20" s="27" t="inlineStr">
        <is>
          <t>GiB</t>
        </is>
      </c>
      <c r="D20" s="27" t="inlineStr">
        <is>
          <t>Sum of environments.</t>
        </is>
      </c>
      <c r="E20" s="27" t="inlineStr">
        <is>
          <t>-</t>
        </is>
      </c>
      <c r="F20" s="43">
        <f>SUMIF(KD_CLUSTER,F$4,KD_GIB)</f>
        <v/>
      </c>
      <c r="G20" s="43">
        <f>SUMIF(KD_CLUSTER,G$4,KD_GIB)</f>
        <v/>
      </c>
      <c r="H20" s="43">
        <f>SUMIF(KD_CLUSTER,H$4,KD_GIB)</f>
        <v/>
      </c>
      <c r="I20" s="43">
        <f>SUMIF(KD_CLUSTER,I$4,KD_GIB)</f>
        <v/>
      </c>
      <c r="J20" s="43">
        <f>SUMIF(KD_CLUSTER,J$4,KD_GIB)</f>
        <v/>
      </c>
      <c r="K20" s="43">
        <f>SUMIF(KD_CLUSTER,K$4,KD_GIB)</f>
        <v/>
      </c>
    </row>
    <row r="21" ht="15.5" customHeight="1">
      <c r="A21" s="27" t="inlineStr">
        <is>
          <t>K.15</t>
        </is>
      </c>
      <c r="B21" s="26" t="inlineStr">
        <is>
          <t>GiB read per day</t>
        </is>
      </c>
      <c r="C21" s="27" t="inlineStr">
        <is>
          <t>GiB</t>
        </is>
      </c>
      <c r="D21" s="27" t="inlineStr">
        <is>
          <t>Sum of environments.</t>
        </is>
      </c>
      <c r="E21" s="27" t="inlineStr">
        <is>
          <t>-</t>
        </is>
      </c>
      <c r="F21" s="43">
        <f>SUMIF(KD_CLUSTER,F$4,KD_GIBR)</f>
        <v/>
      </c>
      <c r="G21" s="43">
        <f>SUMIF(KD_CLUSTER,G$4,KD_GIBR)</f>
        <v/>
      </c>
      <c r="H21" s="43">
        <f>SUMIF(KD_CLUSTER,H$4,KD_GIBR)</f>
        <v/>
      </c>
      <c r="I21" s="43">
        <f>SUMIF(KD_CLUSTER,I$4,KD_GIBR)</f>
        <v/>
      </c>
      <c r="J21" s="43">
        <f>SUMIF(KD_CLUSTER,J$4,KD_GIBR)</f>
        <v/>
      </c>
      <c r="K21" s="43">
        <f>SUMIF(KD_CLUSTER,K$4,KD_GIBR)</f>
        <v/>
      </c>
    </row>
    <row r="22" ht="15.5" customHeight="1">
      <c r="A22" s="27" t="inlineStr">
        <is>
          <t>K.16</t>
        </is>
      </c>
      <c r="B22" s="26" t="inlineStr">
        <is>
          <t>Stored GiB before replication</t>
        </is>
      </c>
      <c r="C22" s="27" t="inlineStr">
        <is>
          <t>GiB</t>
        </is>
      </c>
      <c r="D22" s="27" t="inlineStr">
        <is>
          <t>Sum of environments (GiB per day x retention).</t>
        </is>
      </c>
      <c r="E22" s="27" t="inlineStr">
        <is>
          <t>-</t>
        </is>
      </c>
      <c r="F22" s="43">
        <f>SUMIF(KD_CLUSTER,F$4,KD_STORE)</f>
        <v/>
      </c>
      <c r="G22" s="43">
        <f>SUMIF(KD_CLUSTER,G$4,KD_STORE)</f>
        <v/>
      </c>
      <c r="H22" s="43">
        <f>SUMIF(KD_CLUSTER,H$4,KD_STORE)</f>
        <v/>
      </c>
      <c r="I22" s="43">
        <f>SUMIF(KD_CLUSTER,I$4,KD_STORE)</f>
        <v/>
      </c>
      <c r="J22" s="43">
        <f>SUMIF(KD_CLUSTER,J$4,KD_STORE)</f>
        <v/>
      </c>
      <c r="K22" s="43">
        <f>SUMIF(KD_CLUSTER,K$4,KD_STORE)</f>
        <v/>
      </c>
    </row>
    <row r="23" ht="15.5" customHeight="1">
      <c r="A23" s="27" t="inlineStr">
        <is>
          <t>K.17</t>
        </is>
      </c>
      <c r="B23" s="26" t="inlineStr">
        <is>
          <t>Environments with Example inputs</t>
        </is>
      </c>
      <c r="C23" s="27" t="inlineStr">
        <is>
          <t>count</t>
        </is>
      </c>
      <c r="D23" s="27" t="inlineStr"/>
      <c r="E23" s="27" t="inlineStr">
        <is>
          <t>-</t>
        </is>
      </c>
      <c r="F23" s="35">
        <f>SUMPRODUCT((KD_CLUSTER=F$4)*(KD_STATUS="Example"))</f>
        <v/>
      </c>
      <c r="G23" s="35">
        <f>SUMPRODUCT((KD_CLUSTER=G$4)*(KD_STATUS="Example"))</f>
        <v/>
      </c>
      <c r="H23" s="35">
        <f>SUMPRODUCT((KD_CLUSTER=H$4)*(KD_STATUS="Example"))</f>
        <v/>
      </c>
      <c r="I23" s="35">
        <f>SUMPRODUCT((KD_CLUSTER=I$4)*(KD_STATUS="Example"))</f>
        <v/>
      </c>
      <c r="J23" s="35">
        <f>SUMPRODUCT((KD_CLUSTER=J$4)*(KD_STATUS="Example"))</f>
        <v/>
      </c>
      <c r="K23" s="35">
        <f>SUMPRODUCT((KD_CLUSTER=K$4)*(KD_STATUS="Example"))</f>
        <v/>
      </c>
    </row>
    <row r="24" ht="15.5" customHeight="1">
      <c r="A24" s="27" t="inlineStr">
        <is>
          <t>K.18</t>
        </is>
      </c>
      <c r="B24" s="26" t="inlineStr">
        <is>
          <t>Environments without an input status</t>
        </is>
      </c>
      <c r="C24" s="27" t="inlineStr">
        <is>
          <t>count</t>
        </is>
      </c>
      <c r="D24" s="27" t="inlineStr"/>
      <c r="E24" s="27" t="inlineStr">
        <is>
          <t>-</t>
        </is>
      </c>
      <c r="F24" s="35">
        <f>SUMPRODUCT((KD_CLUSTER=F$4)*(KD_STATUS=""))</f>
        <v/>
      </c>
      <c r="G24" s="35">
        <f>SUMPRODUCT((KD_CLUSTER=G$4)*(KD_STATUS=""))</f>
        <v/>
      </c>
      <c r="H24" s="35">
        <f>SUMPRODUCT((KD_CLUSTER=H$4)*(KD_STATUS=""))</f>
        <v/>
      </c>
      <c r="I24" s="35">
        <f>SUMPRODUCT((KD_CLUSTER=I$4)*(KD_STATUS=""))</f>
        <v/>
      </c>
      <c r="J24" s="35">
        <f>SUMPRODUCT((KD_CLUSTER=J$4)*(KD_STATUS=""))</f>
        <v/>
      </c>
      <c r="K24" s="35">
        <f>SUMPRODUCT((KD_CLUSTER=K$4)*(KD_STATUS=""))</f>
        <v/>
      </c>
    </row>
    <row r="25" ht="29" customHeight="1">
      <c r="A25" s="27" t="inlineStr">
        <is>
          <t>K.19</t>
        </is>
      </c>
      <c r="B25" s="26" t="inlineStr">
        <is>
          <t>Environments without a connections figure</t>
        </is>
      </c>
      <c r="C25" s="27" t="inlineStr">
        <is>
          <t>count</t>
        </is>
      </c>
      <c r="D25" s="27" t="inlineStr"/>
      <c r="E25" s="27" t="inlineStr">
        <is>
          <t>-</t>
        </is>
      </c>
      <c r="F25" s="35">
        <f>SUMPRODUCT((KD_CLUSTER=F$4)*(KD_CONN=""))</f>
        <v/>
      </c>
      <c r="G25" s="35">
        <f>SUMPRODUCT((KD_CLUSTER=G$4)*(KD_CONN=""))</f>
        <v/>
      </c>
      <c r="H25" s="35">
        <f>SUMPRODUCT((KD_CLUSTER=H$4)*(KD_CONN=""))</f>
        <v/>
      </c>
      <c r="I25" s="35">
        <f>SUMPRODUCT((KD_CLUSTER=I$4)*(KD_CONN=""))</f>
        <v/>
      </c>
      <c r="J25" s="35">
        <f>SUMPRODUCT((KD_CLUSTER=J$4)*(KD_CONN=""))</f>
        <v/>
      </c>
      <c r="K25" s="35">
        <f>SUMPRODUCT((KD_CLUSTER=K$4)*(KD_CONN=""))</f>
        <v/>
      </c>
    </row>
    <row r="26" ht="15.5" customHeight="1">
      <c r="A26" s="27" t="inlineStr">
        <is>
          <t>K.20</t>
        </is>
      </c>
      <c r="B26" s="26" t="inlineStr">
        <is>
          <t>Environments without a requests figure</t>
        </is>
      </c>
      <c r="C26" s="27" t="inlineStr">
        <is>
          <t>count</t>
        </is>
      </c>
      <c r="D26" s="27" t="inlineStr"/>
      <c r="E26" s="27" t="inlineStr">
        <is>
          <t>-</t>
        </is>
      </c>
      <c r="F26" s="35">
        <f>SUMPRODUCT((KD_CLUSTER=F$4)*(KD_REQ=""))</f>
        <v/>
      </c>
      <c r="G26" s="35">
        <f>SUMPRODUCT((KD_CLUSTER=G$4)*(KD_REQ=""))</f>
        <v/>
      </c>
      <c r="H26" s="35">
        <f>SUMPRODUCT((KD_CLUSTER=H$4)*(KD_REQ=""))</f>
        <v/>
      </c>
      <c r="I26" s="35">
        <f>SUMPRODUCT((KD_CLUSTER=I$4)*(KD_REQ=""))</f>
        <v/>
      </c>
      <c r="J26" s="35">
        <f>SUMPRODUCT((KD_CLUSTER=J$4)*(KD_REQ=""))</f>
        <v/>
      </c>
      <c r="K26" s="35">
        <f>SUMPRODUCT((KD_CLUSTER=K$4)*(KD_REQ=""))</f>
        <v/>
      </c>
    </row>
    <row r="27" ht="16" customHeight="1">
      <c r="A27" s="31" t="inlineStr">
        <is>
          <t>C. Planning allowance</t>
        </is>
      </c>
      <c r="B27" s="32" t="n"/>
      <c r="C27" s="32" t="n"/>
      <c r="D27" s="32" t="n"/>
      <c r="E27" s="32" t="n"/>
      <c r="F27" s="32" t="n"/>
      <c r="G27" s="32" t="n"/>
      <c r="H27" s="32" t="n"/>
      <c r="I27" s="32" t="n"/>
      <c r="J27" s="32" t="n"/>
      <c r="K27" s="32" t="n"/>
    </row>
    <row r="28" ht="15.5" customHeight="1">
      <c r="A28" s="27" t="inlineStr">
        <is>
          <t>K.21</t>
        </is>
      </c>
      <c r="B28" s="26" t="inlineStr">
        <is>
          <t>Growth allowance</t>
        </is>
      </c>
      <c r="C28" s="27" t="inlineStr">
        <is>
          <t>%</t>
        </is>
      </c>
      <c r="D28" s="27" t="inlineStr">
        <is>
          <t>From the Kafka Clusters sheet.</t>
        </is>
      </c>
      <c r="E28" s="27" t="inlineStr">
        <is>
          <t>W</t>
        </is>
      </c>
      <c r="F28" s="44">
        <f>IF('2 Kafka Clusters'!F16="",0,'2 Kafka Clusters'!F16)</f>
        <v/>
      </c>
      <c r="G28" s="44">
        <f>IF('2 Kafka Clusters'!G16="",0,'2 Kafka Clusters'!G16)</f>
        <v/>
      </c>
      <c r="H28" s="44">
        <f>IF('2 Kafka Clusters'!H16="",0,'2 Kafka Clusters'!H16)</f>
        <v/>
      </c>
      <c r="I28" s="44">
        <f>IF('2 Kafka Clusters'!I16="",0,'2 Kafka Clusters'!I16)</f>
        <v/>
      </c>
      <c r="J28" s="44">
        <f>IF('2 Kafka Clusters'!J16="",0,'2 Kafka Clusters'!J16)</f>
        <v/>
      </c>
      <c r="K28" s="44">
        <f>IF('2 Kafka Clusters'!K16="",0,'2 Kafka Clusters'!K16)</f>
        <v/>
      </c>
    </row>
    <row r="29" ht="29" customHeight="1">
      <c r="A29" s="27" t="inlineStr">
        <is>
          <t>K.22</t>
        </is>
      </c>
      <c r="B29" s="26" t="inlineStr">
        <is>
          <t>Target maximum utilisation</t>
        </is>
      </c>
      <c r="C29" s="27" t="inlineStr">
        <is>
          <t>%</t>
        </is>
      </c>
      <c r="D29" s="27" t="inlineStr">
        <is>
          <t>From the Kafka Clusters sheet. 70 % matches Pega's CPU action point.</t>
        </is>
      </c>
      <c r="E29" s="27" t="inlineStr">
        <is>
          <t>P5</t>
        </is>
      </c>
      <c r="F29" s="44">
        <f>IF('2 Kafka Clusters'!F17="",P_CPU_ACT,'2 Kafka Clusters'!F17)</f>
        <v/>
      </c>
      <c r="G29" s="44">
        <f>IF('2 Kafka Clusters'!G17="",P_CPU_ACT,'2 Kafka Clusters'!G17)</f>
        <v/>
      </c>
      <c r="H29" s="44">
        <f>IF('2 Kafka Clusters'!H17="",P_CPU_ACT,'2 Kafka Clusters'!H17)</f>
        <v/>
      </c>
      <c r="I29" s="44">
        <f>IF('2 Kafka Clusters'!I17="",P_CPU_ACT,'2 Kafka Clusters'!I17)</f>
        <v/>
      </c>
      <c r="J29" s="44">
        <f>IF('2 Kafka Clusters'!J17="",P_CPU_ACT,'2 Kafka Clusters'!J17)</f>
        <v/>
      </c>
      <c r="K29" s="44">
        <f>IF('2 Kafka Clusters'!K17="",P_CPU_ACT,'2 Kafka Clusters'!K17)</f>
        <v/>
      </c>
    </row>
    <row r="30" ht="15.5" customHeight="1">
      <c r="A30" s="27" t="inlineStr">
        <is>
          <t>K.23</t>
        </is>
      </c>
      <c r="B30" s="26" t="inlineStr">
        <is>
          <t>Planning factor</t>
        </is>
      </c>
      <c r="C30" s="27" t="inlineStr">
        <is>
          <t>x</t>
        </is>
      </c>
      <c r="D30" s="27" t="inlineStr">
        <is>
          <t>(1 + growth) / target utilisation.</t>
        </is>
      </c>
      <c r="E30" s="27" t="inlineStr">
        <is>
          <t>W</t>
        </is>
      </c>
      <c r="F30" s="40">
        <f>IF(F29&gt;0,(1+F28)/F29,0)</f>
        <v/>
      </c>
      <c r="G30" s="40">
        <f>IF(G29&gt;0,(1+G28)/G29,0)</f>
        <v/>
      </c>
      <c r="H30" s="40">
        <f>IF(H29&gt;0,(1+H28)/H29,0)</f>
        <v/>
      </c>
      <c r="I30" s="40">
        <f>IF(I29&gt;0,(1+I28)/I29,0)</f>
        <v/>
      </c>
      <c r="J30" s="40">
        <f>IF(J29&gt;0,(1+J28)/J29,0)</f>
        <v/>
      </c>
      <c r="K30" s="40">
        <f>IF(K29&gt;0,(1+K28)/K29,0)</f>
        <v/>
      </c>
    </row>
    <row r="31" ht="15.5" customHeight="1">
      <c r="A31" s="27" t="inlineStr">
        <is>
          <t>K.24</t>
        </is>
      </c>
      <c r="B31" s="26" t="inlineStr">
        <is>
          <t>Planned leader partitions</t>
        </is>
      </c>
      <c r="C31" s="27" t="inlineStr">
        <is>
          <t>count</t>
        </is>
      </c>
      <c r="D31" s="27" t="inlineStr">
        <is>
          <t>Leader partitions x planning factor, rounded up.</t>
        </is>
      </c>
      <c r="E31" s="27" t="inlineStr">
        <is>
          <t>W</t>
        </is>
      </c>
      <c r="F31" s="38">
        <f>ROUNDUP(F13*F30,0)</f>
        <v/>
      </c>
      <c r="G31" s="38">
        <f>ROUNDUP(G13*G30,0)</f>
        <v/>
      </c>
      <c r="H31" s="38">
        <f>ROUNDUP(H13*H30,0)</f>
        <v/>
      </c>
      <c r="I31" s="38">
        <f>ROUNDUP(I13*I30,0)</f>
        <v/>
      </c>
      <c r="J31" s="38">
        <f>ROUNDUP(J13*J30,0)</f>
        <v/>
      </c>
      <c r="K31" s="38">
        <f>ROUNDUP(K13*K30,0)</f>
        <v/>
      </c>
    </row>
    <row r="32" ht="15.5" customHeight="1">
      <c r="A32" s="27" t="inlineStr">
        <is>
          <t>K.25</t>
        </is>
      </c>
      <c r="B32" s="26" t="inlineStr">
        <is>
          <t>Planned compacted partitions</t>
        </is>
      </c>
      <c r="C32" s="27" t="inlineStr">
        <is>
          <t>count</t>
        </is>
      </c>
      <c r="D32" s="27" t="inlineStr">
        <is>
          <t>Compacted partitions x planning factor, rounded up.</t>
        </is>
      </c>
      <c r="E32" s="27" t="inlineStr">
        <is>
          <t>W</t>
        </is>
      </c>
      <c r="F32" s="38">
        <f>ROUNDUP(F14*F30,0)</f>
        <v/>
      </c>
      <c r="G32" s="38">
        <f>ROUNDUP(G14*G30,0)</f>
        <v/>
      </c>
      <c r="H32" s="38">
        <f>ROUNDUP(H14*H30,0)</f>
        <v/>
      </c>
      <c r="I32" s="38">
        <f>ROUNDUP(I14*I30,0)</f>
        <v/>
      </c>
      <c r="J32" s="38">
        <f>ROUNDUP(J14*J30,0)</f>
        <v/>
      </c>
      <c r="K32" s="38">
        <f>ROUNDUP(K14*K30,0)</f>
        <v/>
      </c>
    </row>
    <row r="33" ht="15.5" customHeight="1">
      <c r="A33" s="27" t="inlineStr">
        <is>
          <t>K.26</t>
        </is>
      </c>
      <c r="B33" s="26" t="inlineStr">
        <is>
          <t>Planned ingress</t>
        </is>
      </c>
      <c r="C33" s="27" t="inlineStr">
        <is>
          <t>MBps</t>
        </is>
      </c>
      <c r="D33" s="27" t="inlineStr">
        <is>
          <t>Peak write x planning factor.</t>
        </is>
      </c>
      <c r="E33" s="27" t="inlineStr">
        <is>
          <t>W</t>
        </is>
      </c>
      <c r="F33" s="40">
        <f>F15*F30</f>
        <v/>
      </c>
      <c r="G33" s="40">
        <f>G15*G30</f>
        <v/>
      </c>
      <c r="H33" s="40">
        <f>H15*H30</f>
        <v/>
      </c>
      <c r="I33" s="40">
        <f>I15*I30</f>
        <v/>
      </c>
      <c r="J33" s="40">
        <f>J15*J30</f>
        <v/>
      </c>
      <c r="K33" s="40">
        <f>K15*K30</f>
        <v/>
      </c>
    </row>
    <row r="34" ht="15.5" customHeight="1">
      <c r="A34" s="27" t="inlineStr">
        <is>
          <t>K.27</t>
        </is>
      </c>
      <c r="B34" s="26" t="inlineStr">
        <is>
          <t>Planned egress</t>
        </is>
      </c>
      <c r="C34" s="27" t="inlineStr">
        <is>
          <t>MBps</t>
        </is>
      </c>
      <c r="D34" s="27" t="inlineStr">
        <is>
          <t>Peak read x planning factor.</t>
        </is>
      </c>
      <c r="E34" s="27" t="inlineStr">
        <is>
          <t>W</t>
        </is>
      </c>
      <c r="F34" s="40">
        <f>F16*F30</f>
        <v/>
      </c>
      <c r="G34" s="40">
        <f>G16*G30</f>
        <v/>
      </c>
      <c r="H34" s="40">
        <f>H16*H30</f>
        <v/>
      </c>
      <c r="I34" s="40">
        <f>I16*I30</f>
        <v/>
      </c>
      <c r="J34" s="40">
        <f>J16*J30</f>
        <v/>
      </c>
      <c r="K34" s="40">
        <f>K16*K30</f>
        <v/>
      </c>
    </row>
    <row r="35" ht="15.5" customHeight="1">
      <c r="A35" s="27" t="inlineStr">
        <is>
          <t>K.28</t>
        </is>
      </c>
      <c r="B35" s="26" t="inlineStr">
        <is>
          <t>Planned client connections</t>
        </is>
      </c>
      <c r="C35" s="27" t="inlineStr">
        <is>
          <t>count</t>
        </is>
      </c>
      <c r="D35" s="27" t="inlineStr">
        <is>
          <t>Connections x planning factor, rounded up.</t>
        </is>
      </c>
      <c r="E35" s="27" t="inlineStr">
        <is>
          <t>W</t>
        </is>
      </c>
      <c r="F35" s="38">
        <f>ROUNDUP(F17*F30,0)</f>
        <v/>
      </c>
      <c r="G35" s="38">
        <f>ROUNDUP(G17*G30,0)</f>
        <v/>
      </c>
      <c r="H35" s="38">
        <f>ROUNDUP(H17*H30,0)</f>
        <v/>
      </c>
      <c r="I35" s="38">
        <f>ROUNDUP(I17*I30,0)</f>
        <v/>
      </c>
      <c r="J35" s="38">
        <f>ROUNDUP(J17*J30,0)</f>
        <v/>
      </c>
      <c r="K35" s="38">
        <f>ROUNDUP(K17*K30,0)</f>
        <v/>
      </c>
    </row>
    <row r="36" ht="15.5" customHeight="1">
      <c r="A36" s="27" t="inlineStr">
        <is>
          <t>K.29</t>
        </is>
      </c>
      <c r="B36" s="26" t="inlineStr">
        <is>
          <t>Planned requests per second</t>
        </is>
      </c>
      <c r="C36" s="27" t="inlineStr">
        <is>
          <t>req/s</t>
        </is>
      </c>
      <c r="D36" s="27" t="inlineStr">
        <is>
          <t>Requests x planning factor, rounded up.</t>
        </is>
      </c>
      <c r="E36" s="27" t="inlineStr">
        <is>
          <t>W</t>
        </is>
      </c>
      <c r="F36" s="38">
        <f>ROUNDUP(F18*F30,0)</f>
        <v/>
      </c>
      <c r="G36" s="38">
        <f>ROUNDUP(G18*G30,0)</f>
        <v/>
      </c>
      <c r="H36" s="38">
        <f>ROUNDUP(H18*H30,0)</f>
        <v/>
      </c>
      <c r="I36" s="38">
        <f>ROUNDUP(I18*I30,0)</f>
        <v/>
      </c>
      <c r="J36" s="38">
        <f>ROUNDUP(J18*J30,0)</f>
        <v/>
      </c>
      <c r="K36" s="38">
        <f>ROUNDUP(K18*K30,0)</f>
        <v/>
      </c>
    </row>
    <row r="37" ht="16" customHeight="1">
      <c r="A37" s="31" t="inlineStr">
        <is>
          <t>D. Requirements from the Kafka Clusters sheet</t>
        </is>
      </c>
      <c r="B37" s="32" t="n"/>
      <c r="C37" s="32" t="n"/>
      <c r="D37" s="32" t="n"/>
      <c r="E37" s="32" t="n"/>
      <c r="F37" s="32" t="n"/>
      <c r="G37" s="32" t="n"/>
      <c r="H37" s="32" t="n"/>
      <c r="I37" s="32" t="n"/>
      <c r="J37" s="32" t="n"/>
      <c r="K37" s="32" t="n"/>
    </row>
    <row r="38" ht="15.5" customHeight="1">
      <c r="A38" s="27" t="inlineStr">
        <is>
          <t>K.30</t>
        </is>
      </c>
      <c r="B38" s="26" t="inlineStr">
        <is>
          <t>Required SLA</t>
        </is>
      </c>
      <c r="C38" s="27" t="inlineStr">
        <is>
          <t>%</t>
        </is>
      </c>
      <c r="D38" s="27" t="inlineStr">
        <is>
          <t>Converted from the list choice.</t>
        </is>
      </c>
      <c r="E38" s="27" t="inlineStr">
        <is>
          <t>C1</t>
        </is>
      </c>
      <c r="F38" s="45">
        <f>IFERROR(VALUE(SUBSTITUTE('2 Kafka Clusters'!F9,"%",""))/100,0)</f>
        <v/>
      </c>
      <c r="G38" s="45">
        <f>IFERROR(VALUE(SUBSTITUTE('2 Kafka Clusters'!G9,"%",""))/100,0)</f>
        <v/>
      </c>
      <c r="H38" s="45">
        <f>IFERROR(VALUE(SUBSTITUTE('2 Kafka Clusters'!H9,"%",""))/100,0)</f>
        <v/>
      </c>
      <c r="I38" s="45">
        <f>IFERROR(VALUE(SUBSTITUTE('2 Kafka Clusters'!I9,"%",""))/100,0)</f>
        <v/>
      </c>
      <c r="J38" s="45">
        <f>IFERROR(VALUE(SUBSTITUTE('2 Kafka Clusters'!J9,"%",""))/100,0)</f>
        <v/>
      </c>
      <c r="K38" s="45">
        <f>IFERROR(VALUE(SUBSTITUTE('2 Kafka Clusters'!K9,"%",""))/100,0)</f>
        <v/>
      </c>
    </row>
    <row r="39" ht="15.5" customHeight="1">
      <c r="A39" s="27" t="inlineStr">
        <is>
          <t>K.31</t>
        </is>
      </c>
      <c r="B39" s="26" t="inlineStr">
        <is>
          <t>Private networking</t>
        </is>
      </c>
      <c r="C39" s="27" t="inlineStr">
        <is>
          <t>Yes/No</t>
        </is>
      </c>
      <c r="D39" s="27" t="inlineStr"/>
      <c r="E39" s="27" t="inlineStr">
        <is>
          <t>C1</t>
        </is>
      </c>
      <c r="F39" s="11">
        <f>IF('2 Kafka Clusters'!F10="","No",'2 Kafka Clusters'!F10)</f>
        <v/>
      </c>
      <c r="G39" s="11">
        <f>IF('2 Kafka Clusters'!G10="","No",'2 Kafka Clusters'!G10)</f>
        <v/>
      </c>
      <c r="H39" s="11">
        <f>IF('2 Kafka Clusters'!H10="","No",'2 Kafka Clusters'!H10)</f>
        <v/>
      </c>
      <c r="I39" s="11">
        <f>IF('2 Kafka Clusters'!I10="","No",'2 Kafka Clusters'!I10)</f>
        <v/>
      </c>
      <c r="J39" s="11">
        <f>IF('2 Kafka Clusters'!J10="","No",'2 Kafka Clusters'!J10)</f>
        <v/>
      </c>
      <c r="K39" s="11">
        <f>IF('2 Kafka Clusters'!K10="","No",'2 Kafka Clusters'!K10)</f>
        <v/>
      </c>
    </row>
    <row r="40" ht="15.5" customHeight="1">
      <c r="A40" s="27" t="inlineStr">
        <is>
          <t>K.32</t>
        </is>
      </c>
      <c r="B40" s="26" t="inlineStr">
        <is>
          <t>Self-managed keys</t>
        </is>
      </c>
      <c r="C40" s="27" t="inlineStr">
        <is>
          <t>Yes/No</t>
        </is>
      </c>
      <c r="D40" s="27" t="inlineStr"/>
      <c r="E40" s="27" t="inlineStr">
        <is>
          <t>C4</t>
        </is>
      </c>
      <c r="F40" s="11">
        <f>IF('2 Kafka Clusters'!F11="","No",'2 Kafka Clusters'!F11)</f>
        <v/>
      </c>
      <c r="G40" s="11">
        <f>IF('2 Kafka Clusters'!G11="","No",'2 Kafka Clusters'!G11)</f>
        <v/>
      </c>
      <c r="H40" s="11">
        <f>IF('2 Kafka Clusters'!H11="","No",'2 Kafka Clusters'!H11)</f>
        <v/>
      </c>
      <c r="I40" s="11">
        <f>IF('2 Kafka Clusters'!I11="","No",'2 Kafka Clusters'!I11)</f>
        <v/>
      </c>
      <c r="J40" s="11">
        <f>IF('2 Kafka Clusters'!J11="","No",'2 Kafka Clusters'!J11)</f>
        <v/>
      </c>
      <c r="K40" s="11">
        <f>IF('2 Kafka Clusters'!K11="","No",'2 Kafka Clusters'!K11)</f>
        <v/>
      </c>
    </row>
    <row r="41" ht="15.5" customHeight="1">
      <c r="A41" s="27" t="inlineStr">
        <is>
          <t>K.33</t>
        </is>
      </c>
      <c r="B41" s="26" t="inlineStr">
        <is>
          <t>Multi-zone (Dedicated)</t>
        </is>
      </c>
      <c r="C41" s="27" t="inlineStr">
        <is>
          <t>Yes/No</t>
        </is>
      </c>
      <c r="D41" s="27" t="inlineStr"/>
      <c r="E41" s="27" t="inlineStr">
        <is>
          <t>C1</t>
        </is>
      </c>
      <c r="F41" s="11">
        <f>IF('2 Kafka Clusters'!F12="","Yes",'2 Kafka Clusters'!F12)</f>
        <v/>
      </c>
      <c r="G41" s="11">
        <f>IF('2 Kafka Clusters'!G12="","Yes",'2 Kafka Clusters'!G12)</f>
        <v/>
      </c>
      <c r="H41" s="11">
        <f>IF('2 Kafka Clusters'!H12="","Yes",'2 Kafka Clusters'!H12)</f>
        <v/>
      </c>
      <c r="I41" s="11">
        <f>IF('2 Kafka Clusters'!I12="","Yes",'2 Kafka Clusters'!I12)</f>
        <v/>
      </c>
      <c r="J41" s="11">
        <f>IF('2 Kafka Clusters'!J12="","Yes",'2 Kafka Clusters'!J12)</f>
        <v/>
      </c>
      <c r="K41" s="11">
        <f>IF('2 Kafka Clusters'!K12="","Yes",'2 Kafka Clusters'!K12)</f>
        <v/>
      </c>
    </row>
    <row r="42" ht="15.5" customHeight="1">
      <c r="A42" s="27" t="inlineStr">
        <is>
          <t>K.34</t>
        </is>
      </c>
      <c r="B42" s="26" t="inlineStr">
        <is>
          <t>Preferred type</t>
        </is>
      </c>
      <c r="C42" s="27" t="inlineStr">
        <is>
          <t>list</t>
        </is>
      </c>
      <c r="D42" s="27" t="inlineStr"/>
      <c r="E42" s="27" t="inlineStr">
        <is>
          <t>-</t>
        </is>
      </c>
      <c r="F42" s="11">
        <f>IF('2 Kafka Clusters'!F13="","Auto",'2 Kafka Clusters'!F13)</f>
        <v/>
      </c>
      <c r="G42" s="11">
        <f>IF('2 Kafka Clusters'!G13="","Auto",'2 Kafka Clusters'!G13)</f>
        <v/>
      </c>
      <c r="H42" s="11">
        <f>IF('2 Kafka Clusters'!H13="","Auto",'2 Kafka Clusters'!H13)</f>
        <v/>
      </c>
      <c r="I42" s="11">
        <f>IF('2 Kafka Clusters'!I13="","Auto",'2 Kafka Clusters'!I13)</f>
        <v/>
      </c>
      <c r="J42" s="11">
        <f>IF('2 Kafka Clusters'!J13="","Auto",'2 Kafka Clusters'!J13)</f>
        <v/>
      </c>
      <c r="K42" s="11">
        <f>IF('2 Kafka Clusters'!K13="","Auto",'2 Kafka Clusters'!K13)</f>
        <v/>
      </c>
    </row>
    <row r="43" ht="15.5" customHeight="1">
      <c r="A43" s="27" t="inlineStr">
        <is>
          <t>K.35</t>
        </is>
      </c>
      <c r="B43" s="26" t="inlineStr">
        <is>
          <t>Billing method</t>
        </is>
      </c>
      <c r="C43" s="27" t="inlineStr">
        <is>
          <t>list</t>
        </is>
      </c>
      <c r="D43" s="27" t="inlineStr"/>
      <c r="E43" s="27" t="inlineStr">
        <is>
          <t>C1</t>
        </is>
      </c>
      <c r="F43" s="11">
        <f>IF('2 Kafka Clusters'!F14="","Invoice",'2 Kafka Clusters'!F14)</f>
        <v/>
      </c>
      <c r="G43" s="11">
        <f>IF('2 Kafka Clusters'!G14="","Invoice",'2 Kafka Clusters'!G14)</f>
        <v/>
      </c>
      <c r="H43" s="11">
        <f>IF('2 Kafka Clusters'!H14="","Invoice",'2 Kafka Clusters'!H14)</f>
        <v/>
      </c>
      <c r="I43" s="11">
        <f>IF('2 Kafka Clusters'!I14="","Invoice",'2 Kafka Clusters'!I14)</f>
        <v/>
      </c>
      <c r="J43" s="11">
        <f>IF('2 Kafka Clusters'!J14="","Invoice",'2 Kafka Clusters'!J14)</f>
        <v/>
      </c>
      <c r="K43" s="11">
        <f>IF('2 Kafka Clusters'!K14="","Invoice",'2 Kafka Clusters'!K14)</f>
        <v/>
      </c>
    </row>
    <row r="44" ht="16" customHeight="1">
      <c r="A44" s="31" t="inlineStr">
        <is>
          <t>E. Units each cluster type would need (per-unit limits are on Ref_Data)</t>
        </is>
      </c>
      <c r="B44" s="32" t="n"/>
      <c r="C44" s="32" t="n"/>
      <c r="D44" s="32" t="n"/>
      <c r="E44" s="32" t="n"/>
      <c r="F44" s="32" t="n"/>
      <c r="G44" s="32" t="n"/>
      <c r="H44" s="32" t="n"/>
      <c r="I44" s="32" t="n"/>
      <c r="J44" s="32" t="n"/>
      <c r="K44" s="32" t="n"/>
    </row>
    <row r="45" ht="15.5" customHeight="1">
      <c r="A45" s="27" t="inlineStr">
        <is>
          <t>K.36</t>
        </is>
      </c>
      <c r="B45" s="26" t="inlineStr">
        <is>
          <t>Basic: eligible</t>
        </is>
      </c>
      <c r="C45" s="27" t="inlineStr">
        <is>
          <t>Yes/No</t>
        </is>
      </c>
      <c r="D45" s="27" t="inlineStr">
        <is>
          <t>Only for a 99.5 % SLA, public networking and no self-managed keys.</t>
        </is>
      </c>
      <c r="E45" s="27" t="inlineStr">
        <is>
          <t>C1, C4</t>
        </is>
      </c>
      <c r="F45" s="11">
        <f>IF(AND(F38&lt;=0.995,F39&lt;&gt;"Yes",F40&lt;&gt;"Yes"),"Yes","No")</f>
        <v/>
      </c>
      <c r="G45" s="11">
        <f>IF(AND(G38&lt;=0.995,G39&lt;&gt;"Yes",G40&lt;&gt;"Yes"),"Yes","No")</f>
        <v/>
      </c>
      <c r="H45" s="11">
        <f>IF(AND(H38&lt;=0.995,H39&lt;&gt;"Yes",H40&lt;&gt;"Yes"),"Yes","No")</f>
        <v/>
      </c>
      <c r="I45" s="11">
        <f>IF(AND(I38&lt;=0.995,I39&lt;&gt;"Yes",I40&lt;&gt;"Yes"),"Yes","No")</f>
        <v/>
      </c>
      <c r="J45" s="11">
        <f>IF(AND(J38&lt;=0.995,J39&lt;&gt;"Yes",J40&lt;&gt;"Yes"),"Yes","No")</f>
        <v/>
      </c>
      <c r="K45" s="11">
        <f>IF(AND(K38&lt;=0.995,K39&lt;&gt;"Yes",K40&lt;&gt;"Yes"),"Yes","No")</f>
        <v/>
      </c>
    </row>
    <row r="46" ht="15.5" customHeight="1">
      <c r="A46" s="27" t="inlineStr">
        <is>
          <t>K.37</t>
        </is>
      </c>
      <c r="B46" s="26" t="inlineStr">
        <is>
          <t>Basic: SLA minimum units</t>
        </is>
      </c>
      <c r="C46" s="27" t="inlineStr">
        <is>
          <t>units</t>
        </is>
      </c>
      <c r="D46" s="27" t="inlineStr">
        <is>
          <t>1 eCKU.</t>
        </is>
      </c>
      <c r="E46" s="27" t="inlineStr">
        <is>
          <t>C1</t>
        </is>
      </c>
      <c r="F46" s="35">
        <f>1</f>
        <v/>
      </c>
      <c r="G46" s="35">
        <f>1</f>
        <v/>
      </c>
      <c r="H46" s="35">
        <f>1</f>
        <v/>
      </c>
      <c r="I46" s="35">
        <f>1</f>
        <v/>
      </c>
      <c r="J46" s="35">
        <f>1</f>
        <v/>
      </c>
      <c r="K46" s="35">
        <f>1</f>
        <v/>
      </c>
    </row>
    <row r="47" ht="29" customHeight="1">
      <c r="A47" s="27" t="inlineStr">
        <is>
          <t>K.38</t>
        </is>
      </c>
      <c r="B47" s="26" t="inlineStr">
        <is>
          <t>Basic: units needed</t>
        </is>
      </c>
      <c r="C47" s="27" t="inlineStr">
        <is>
          <t>units</t>
        </is>
      </c>
      <c r="D47" s="27" t="inlineStr">
        <is>
          <t>Largest of: each planned dimension / the per-unit limit, rounded up, and the SLA minimum.</t>
        </is>
      </c>
      <c r="E47" s="27" t="inlineStr">
        <is>
          <t>C1</t>
        </is>
      </c>
      <c r="F47" s="35">
        <f>IF(F6=0,0,MAX(ROUNDUP(F33/INDEX(CF_IN,1),0),ROUNDUP(F34/INDEX(CF_OUT,1),0),ROUNDUP(F31/INDEX(CF_PART,1),0),ROUNDUP(F32/INDEX(CF_COMPACT,1),0),ROUNDUP(F35/INDEX(CF_CONN,1),0),ROUNDUP(F36/INDEX(CF_REQ,1),0),F46))</f>
        <v/>
      </c>
      <c r="G47" s="35">
        <f>IF(G6=0,0,MAX(ROUNDUP(G33/INDEX(CF_IN,1),0),ROUNDUP(G34/INDEX(CF_OUT,1),0),ROUNDUP(G31/INDEX(CF_PART,1),0),ROUNDUP(G32/INDEX(CF_COMPACT,1),0),ROUNDUP(G35/INDEX(CF_CONN,1),0),ROUNDUP(G36/INDEX(CF_REQ,1),0),G46))</f>
        <v/>
      </c>
      <c r="H47" s="35">
        <f>IF(H6=0,0,MAX(ROUNDUP(H33/INDEX(CF_IN,1),0),ROUNDUP(H34/INDEX(CF_OUT,1),0),ROUNDUP(H31/INDEX(CF_PART,1),0),ROUNDUP(H32/INDEX(CF_COMPACT,1),0),ROUNDUP(H35/INDEX(CF_CONN,1),0),ROUNDUP(H36/INDEX(CF_REQ,1),0),H46))</f>
        <v/>
      </c>
      <c r="I47" s="35">
        <f>IF(I6=0,0,MAX(ROUNDUP(I33/INDEX(CF_IN,1),0),ROUNDUP(I34/INDEX(CF_OUT,1),0),ROUNDUP(I31/INDEX(CF_PART,1),0),ROUNDUP(I32/INDEX(CF_COMPACT,1),0),ROUNDUP(I35/INDEX(CF_CONN,1),0),ROUNDUP(I36/INDEX(CF_REQ,1),0),I46))</f>
        <v/>
      </c>
      <c r="J47" s="35">
        <f>IF(J6=0,0,MAX(ROUNDUP(J33/INDEX(CF_IN,1),0),ROUNDUP(J34/INDEX(CF_OUT,1),0),ROUNDUP(J31/INDEX(CF_PART,1),0),ROUNDUP(J32/INDEX(CF_COMPACT,1),0),ROUNDUP(J35/INDEX(CF_CONN,1),0),ROUNDUP(J36/INDEX(CF_REQ,1),0),J46))</f>
        <v/>
      </c>
      <c r="K47" s="35">
        <f>IF(K6=0,0,MAX(ROUNDUP(K33/INDEX(CF_IN,1),0),ROUNDUP(K34/INDEX(CF_OUT,1),0),ROUNDUP(K31/INDEX(CF_PART,1),0),ROUNDUP(K32/INDEX(CF_COMPACT,1),0),ROUNDUP(K35/INDEX(CF_CONN,1),0),ROUNDUP(K36/INDEX(CF_REQ,1),0),K46))</f>
        <v/>
      </c>
    </row>
    <row r="48" ht="15.5" customHeight="1">
      <c r="A48" s="27" t="inlineStr">
        <is>
          <t>K.39</t>
        </is>
      </c>
      <c r="B48" s="26" t="inlineStr">
        <is>
          <t>Basic: maximum units</t>
        </is>
      </c>
      <c r="C48" s="27" t="inlineStr">
        <is>
          <t>units</t>
        </is>
      </c>
      <c r="D48" s="27" t="inlineStr">
        <is>
          <t>Cluster maximum for the type.</t>
        </is>
      </c>
      <c r="E48" s="27" t="inlineStr">
        <is>
          <t>C1</t>
        </is>
      </c>
      <c r="F48" s="35">
        <f>INDEX(CF_MAXU,1)</f>
        <v/>
      </c>
      <c r="G48" s="35">
        <f>INDEX(CF_MAXU,1)</f>
        <v/>
      </c>
      <c r="H48" s="35">
        <f>INDEX(CF_MAXU,1)</f>
        <v/>
      </c>
      <c r="I48" s="35">
        <f>INDEX(CF_MAXU,1)</f>
        <v/>
      </c>
      <c r="J48" s="35">
        <f>INDEX(CF_MAXU,1)</f>
        <v/>
      </c>
      <c r="K48" s="35">
        <f>INDEX(CF_MAXU,1)</f>
        <v/>
      </c>
    </row>
    <row r="49" ht="15.5" customHeight="1">
      <c r="A49" s="27" t="inlineStr">
        <is>
          <t>K.40</t>
        </is>
      </c>
      <c r="B49" s="26" t="inlineStr">
        <is>
          <t>Basic: fits within maximum</t>
        </is>
      </c>
      <c r="C49" s="27" t="inlineStr">
        <is>
          <t>Yes/No</t>
        </is>
      </c>
      <c r="D49" s="27" t="inlineStr"/>
      <c r="E49" s="27" t="inlineStr">
        <is>
          <t>C1</t>
        </is>
      </c>
      <c r="F49" s="11">
        <f>IF(F47&lt;=F48,"Yes","No")</f>
        <v/>
      </c>
      <c r="G49" s="11">
        <f>IF(G47&lt;=G48,"Yes","No")</f>
        <v/>
      </c>
      <c r="H49" s="11">
        <f>IF(H47&lt;=H48,"Yes","No")</f>
        <v/>
      </c>
      <c r="I49" s="11">
        <f>IF(I47&lt;=I48,"Yes","No")</f>
        <v/>
      </c>
      <c r="J49" s="11">
        <f>IF(J47&lt;=J48,"Yes","No")</f>
        <v/>
      </c>
      <c r="K49" s="11">
        <f>IF(K47&lt;=K48,"Yes","No")</f>
        <v/>
      </c>
    </row>
    <row r="50" ht="15.5" customHeight="1">
      <c r="A50" s="27" t="inlineStr">
        <is>
          <t>K.41</t>
        </is>
      </c>
      <c r="B50" s="26" t="inlineStr">
        <is>
          <t>Standard: eligible</t>
        </is>
      </c>
      <c r="C50" s="27" t="inlineStr">
        <is>
          <t>Yes/No</t>
        </is>
      </c>
      <c r="D50" s="27" t="inlineStr">
        <is>
          <t>Public networking only; no self-managed keys on Azure.</t>
        </is>
      </c>
      <c r="E50" s="27" t="inlineStr">
        <is>
          <t>C1, C4</t>
        </is>
      </c>
      <c r="F50" s="11">
        <f>IF(AND(F38&lt;=0.9999,F39&lt;&gt;"Yes",F40&lt;&gt;"Yes"),"Yes","No")</f>
        <v/>
      </c>
      <c r="G50" s="11">
        <f>IF(AND(G38&lt;=0.9999,G39&lt;&gt;"Yes",G40&lt;&gt;"Yes"),"Yes","No")</f>
        <v/>
      </c>
      <c r="H50" s="11">
        <f>IF(AND(H38&lt;=0.9999,H39&lt;&gt;"Yes",H40&lt;&gt;"Yes"),"Yes","No")</f>
        <v/>
      </c>
      <c r="I50" s="11">
        <f>IF(AND(I38&lt;=0.9999,I39&lt;&gt;"Yes",I40&lt;&gt;"Yes"),"Yes","No")</f>
        <v/>
      </c>
      <c r="J50" s="11">
        <f>IF(AND(J38&lt;=0.9999,J39&lt;&gt;"Yes",J40&lt;&gt;"Yes"),"Yes","No")</f>
        <v/>
      </c>
      <c r="K50" s="11">
        <f>IF(AND(K38&lt;=0.9999,K39&lt;&gt;"Yes",K40&lt;&gt;"Yes"),"Yes","No")</f>
        <v/>
      </c>
    </row>
    <row r="51" ht="15.5" customHeight="1">
      <c r="A51" s="27" t="inlineStr">
        <is>
          <t>K.42</t>
        </is>
      </c>
      <c r="B51" s="26" t="inlineStr">
        <is>
          <t>Standard: SLA minimum units</t>
        </is>
      </c>
      <c r="C51" s="27" t="inlineStr">
        <is>
          <t>units</t>
        </is>
      </c>
      <c r="D51" s="27" t="inlineStr">
        <is>
          <t>2 eCKU for 99.99 %, otherwise 1.</t>
        </is>
      </c>
      <c r="E51" s="27" t="inlineStr">
        <is>
          <t>C1</t>
        </is>
      </c>
      <c r="F51" s="35">
        <f>IF(F38&gt;0.999,2,1)</f>
        <v/>
      </c>
      <c r="G51" s="35">
        <f>IF(G38&gt;0.999,2,1)</f>
        <v/>
      </c>
      <c r="H51" s="35">
        <f>IF(H38&gt;0.999,2,1)</f>
        <v/>
      </c>
      <c r="I51" s="35">
        <f>IF(I38&gt;0.999,2,1)</f>
        <v/>
      </c>
      <c r="J51" s="35">
        <f>IF(J38&gt;0.999,2,1)</f>
        <v/>
      </c>
      <c r="K51" s="35">
        <f>IF(K38&gt;0.999,2,1)</f>
        <v/>
      </c>
    </row>
    <row r="52" ht="29" customHeight="1">
      <c r="A52" s="27" t="inlineStr">
        <is>
          <t>K.43</t>
        </is>
      </c>
      <c r="B52" s="26" t="inlineStr">
        <is>
          <t>Standard: units needed</t>
        </is>
      </c>
      <c r="C52" s="27" t="inlineStr">
        <is>
          <t>units</t>
        </is>
      </c>
      <c r="D52" s="27" t="inlineStr">
        <is>
          <t>Largest of: each planned dimension / the per-unit limit, rounded up, and the SLA minimum.</t>
        </is>
      </c>
      <c r="E52" s="27" t="inlineStr">
        <is>
          <t>C1</t>
        </is>
      </c>
      <c r="F52" s="35">
        <f>IF(F6=0,0,MAX(ROUNDUP(F33/INDEX(CF_IN,2),0),ROUNDUP(F34/INDEX(CF_OUT,2),0),ROUNDUP(F31/INDEX(CF_PART,2),0),ROUNDUP(F32/INDEX(CF_COMPACT,2),0),ROUNDUP(F35/INDEX(CF_CONN,2),0),ROUNDUP(F36/INDEX(CF_REQ,2),0),F51))</f>
        <v/>
      </c>
      <c r="G52" s="35">
        <f>IF(G6=0,0,MAX(ROUNDUP(G33/INDEX(CF_IN,2),0),ROUNDUP(G34/INDEX(CF_OUT,2),0),ROUNDUP(G31/INDEX(CF_PART,2),0),ROUNDUP(G32/INDEX(CF_COMPACT,2),0),ROUNDUP(G35/INDEX(CF_CONN,2),0),ROUNDUP(G36/INDEX(CF_REQ,2),0),G51))</f>
        <v/>
      </c>
      <c r="H52" s="35">
        <f>IF(H6=0,0,MAX(ROUNDUP(H33/INDEX(CF_IN,2),0),ROUNDUP(H34/INDEX(CF_OUT,2),0),ROUNDUP(H31/INDEX(CF_PART,2),0),ROUNDUP(H32/INDEX(CF_COMPACT,2),0),ROUNDUP(H35/INDEX(CF_CONN,2),0),ROUNDUP(H36/INDEX(CF_REQ,2),0),H51))</f>
        <v/>
      </c>
      <c r="I52" s="35">
        <f>IF(I6=0,0,MAX(ROUNDUP(I33/INDEX(CF_IN,2),0),ROUNDUP(I34/INDEX(CF_OUT,2),0),ROUNDUP(I31/INDEX(CF_PART,2),0),ROUNDUP(I32/INDEX(CF_COMPACT,2),0),ROUNDUP(I35/INDEX(CF_CONN,2),0),ROUNDUP(I36/INDEX(CF_REQ,2),0),I51))</f>
        <v/>
      </c>
      <c r="J52" s="35">
        <f>IF(J6=0,0,MAX(ROUNDUP(J33/INDEX(CF_IN,2),0),ROUNDUP(J34/INDEX(CF_OUT,2),0),ROUNDUP(J31/INDEX(CF_PART,2),0),ROUNDUP(J32/INDEX(CF_COMPACT,2),0),ROUNDUP(J35/INDEX(CF_CONN,2),0),ROUNDUP(J36/INDEX(CF_REQ,2),0),J51))</f>
        <v/>
      </c>
      <c r="K52" s="35">
        <f>IF(K6=0,0,MAX(ROUNDUP(K33/INDEX(CF_IN,2),0),ROUNDUP(K34/INDEX(CF_OUT,2),0),ROUNDUP(K31/INDEX(CF_PART,2),0),ROUNDUP(K32/INDEX(CF_COMPACT,2),0),ROUNDUP(K35/INDEX(CF_CONN,2),0),ROUNDUP(K36/INDEX(CF_REQ,2),0),K51))</f>
        <v/>
      </c>
    </row>
    <row r="53" ht="15.5" customHeight="1">
      <c r="A53" s="27" t="inlineStr">
        <is>
          <t>K.44</t>
        </is>
      </c>
      <c r="B53" s="26" t="inlineStr">
        <is>
          <t>Standard: maximum units</t>
        </is>
      </c>
      <c r="C53" s="27" t="inlineStr">
        <is>
          <t>units</t>
        </is>
      </c>
      <c r="D53" s="27" t="inlineStr">
        <is>
          <t>Cluster maximum for the type.</t>
        </is>
      </c>
      <c r="E53" s="27" t="inlineStr">
        <is>
          <t>C1</t>
        </is>
      </c>
      <c r="F53" s="35">
        <f>INDEX(CF_MAXU,2)</f>
        <v/>
      </c>
      <c r="G53" s="35">
        <f>INDEX(CF_MAXU,2)</f>
        <v/>
      </c>
      <c r="H53" s="35">
        <f>INDEX(CF_MAXU,2)</f>
        <v/>
      </c>
      <c r="I53" s="35">
        <f>INDEX(CF_MAXU,2)</f>
        <v/>
      </c>
      <c r="J53" s="35">
        <f>INDEX(CF_MAXU,2)</f>
        <v/>
      </c>
      <c r="K53" s="35">
        <f>INDEX(CF_MAXU,2)</f>
        <v/>
      </c>
    </row>
    <row r="54" ht="15.5" customHeight="1">
      <c r="A54" s="27" t="inlineStr">
        <is>
          <t>K.45</t>
        </is>
      </c>
      <c r="B54" s="26" t="inlineStr">
        <is>
          <t>Standard: fits within maximum</t>
        </is>
      </c>
      <c r="C54" s="27" t="inlineStr">
        <is>
          <t>Yes/No</t>
        </is>
      </c>
      <c r="D54" s="27" t="inlineStr"/>
      <c r="E54" s="27" t="inlineStr">
        <is>
          <t>C1</t>
        </is>
      </c>
      <c r="F54" s="11">
        <f>IF(F52&lt;=F53,"Yes","No")</f>
        <v/>
      </c>
      <c r="G54" s="11">
        <f>IF(G52&lt;=G53,"Yes","No")</f>
        <v/>
      </c>
      <c r="H54" s="11">
        <f>IF(H52&lt;=H53,"Yes","No")</f>
        <v/>
      </c>
      <c r="I54" s="11">
        <f>IF(I52&lt;=I53,"Yes","No")</f>
        <v/>
      </c>
      <c r="J54" s="11">
        <f>IF(J52&lt;=J53,"Yes","No")</f>
        <v/>
      </c>
      <c r="K54" s="11">
        <f>IF(K52&lt;=K53,"Yes","No")</f>
        <v/>
      </c>
    </row>
    <row r="55" ht="29" customHeight="1">
      <c r="A55" s="27" t="inlineStr">
        <is>
          <t>K.46</t>
        </is>
      </c>
      <c r="B55" s="26" t="inlineStr">
        <is>
          <t>Enterprise: eligible</t>
        </is>
      </c>
      <c r="C55" s="27" t="inlineStr">
        <is>
          <t>Yes/No</t>
        </is>
      </c>
      <c r="D55" s="27" t="inlineStr">
        <is>
          <t>Public or private networking; self-managed keys available on Azure.</t>
        </is>
      </c>
      <c r="E55" s="27" t="inlineStr">
        <is>
          <t>C1, C4</t>
        </is>
      </c>
      <c r="F55" s="11">
        <f>IF(F38&lt;=0.9999,"Yes","No")</f>
        <v/>
      </c>
      <c r="G55" s="11">
        <f>IF(G38&lt;=0.9999,"Yes","No")</f>
        <v/>
      </c>
      <c r="H55" s="11">
        <f>IF(H38&lt;=0.9999,"Yes","No")</f>
        <v/>
      </c>
      <c r="I55" s="11">
        <f>IF(I38&lt;=0.9999,"Yes","No")</f>
        <v/>
      </c>
      <c r="J55" s="11">
        <f>IF(J38&lt;=0.9999,"Yes","No")</f>
        <v/>
      </c>
      <c r="K55" s="11">
        <f>IF(K38&lt;=0.9999,"Yes","No")</f>
        <v/>
      </c>
    </row>
    <row r="56" ht="15.5" customHeight="1">
      <c r="A56" s="27" t="inlineStr">
        <is>
          <t>K.47</t>
        </is>
      </c>
      <c r="B56" s="26" t="inlineStr">
        <is>
          <t>Enterprise: SLA minimum units</t>
        </is>
      </c>
      <c r="C56" s="27" t="inlineStr">
        <is>
          <t>units</t>
        </is>
      </c>
      <c r="D56" s="27" t="inlineStr">
        <is>
          <t>2 eCKU for 99.99 %, otherwise 1.</t>
        </is>
      </c>
      <c r="E56" s="27" t="inlineStr">
        <is>
          <t>C1</t>
        </is>
      </c>
      <c r="F56" s="35">
        <f>IF(F38&gt;0.999,2,1)</f>
        <v/>
      </c>
      <c r="G56" s="35">
        <f>IF(G38&gt;0.999,2,1)</f>
        <v/>
      </c>
      <c r="H56" s="35">
        <f>IF(H38&gt;0.999,2,1)</f>
        <v/>
      </c>
      <c r="I56" s="35">
        <f>IF(I38&gt;0.999,2,1)</f>
        <v/>
      </c>
      <c r="J56" s="35">
        <f>IF(J38&gt;0.999,2,1)</f>
        <v/>
      </c>
      <c r="K56" s="35">
        <f>IF(K38&gt;0.999,2,1)</f>
        <v/>
      </c>
    </row>
    <row r="57" ht="29" customHeight="1">
      <c r="A57" s="27" t="inlineStr">
        <is>
          <t>K.48</t>
        </is>
      </c>
      <c r="B57" s="26" t="inlineStr">
        <is>
          <t>Enterprise: units needed</t>
        </is>
      </c>
      <c r="C57" s="27" t="inlineStr">
        <is>
          <t>units</t>
        </is>
      </c>
      <c r="D57" s="27" t="inlineStr">
        <is>
          <t>Largest of: each planned dimension / the per-unit limit, rounded up, and the SLA minimum.</t>
        </is>
      </c>
      <c r="E57" s="27" t="inlineStr">
        <is>
          <t>C1</t>
        </is>
      </c>
      <c r="F57" s="35">
        <f>IF(F6=0,0,MAX(ROUNDUP(F33/INDEX(CF_IN,3),0),ROUNDUP(F34/INDEX(CF_OUT,3),0),ROUNDUP(F31/INDEX(CF_PART,3),0),ROUNDUP(F32/INDEX(CF_COMPACT,3),0),ROUNDUP(F35/INDEX(CF_CONN,3),0),ROUNDUP(F36/INDEX(CF_REQ,3),0),F56))</f>
        <v/>
      </c>
      <c r="G57" s="35">
        <f>IF(G6=0,0,MAX(ROUNDUP(G33/INDEX(CF_IN,3),0),ROUNDUP(G34/INDEX(CF_OUT,3),0),ROUNDUP(G31/INDEX(CF_PART,3),0),ROUNDUP(G32/INDEX(CF_COMPACT,3),0),ROUNDUP(G35/INDEX(CF_CONN,3),0),ROUNDUP(G36/INDEX(CF_REQ,3),0),G56))</f>
        <v/>
      </c>
      <c r="H57" s="35">
        <f>IF(H6=0,0,MAX(ROUNDUP(H33/INDEX(CF_IN,3),0),ROUNDUP(H34/INDEX(CF_OUT,3),0),ROUNDUP(H31/INDEX(CF_PART,3),0),ROUNDUP(H32/INDEX(CF_COMPACT,3),0),ROUNDUP(H35/INDEX(CF_CONN,3),0),ROUNDUP(H36/INDEX(CF_REQ,3),0),H56))</f>
        <v/>
      </c>
      <c r="I57" s="35">
        <f>IF(I6=0,0,MAX(ROUNDUP(I33/INDEX(CF_IN,3),0),ROUNDUP(I34/INDEX(CF_OUT,3),0),ROUNDUP(I31/INDEX(CF_PART,3),0),ROUNDUP(I32/INDEX(CF_COMPACT,3),0),ROUNDUP(I35/INDEX(CF_CONN,3),0),ROUNDUP(I36/INDEX(CF_REQ,3),0),I56))</f>
        <v/>
      </c>
      <c r="J57" s="35">
        <f>IF(J6=0,0,MAX(ROUNDUP(J33/INDEX(CF_IN,3),0),ROUNDUP(J34/INDEX(CF_OUT,3),0),ROUNDUP(J31/INDEX(CF_PART,3),0),ROUNDUP(J32/INDEX(CF_COMPACT,3),0),ROUNDUP(J35/INDEX(CF_CONN,3),0),ROUNDUP(J36/INDEX(CF_REQ,3),0),J56))</f>
        <v/>
      </c>
      <c r="K57" s="35">
        <f>IF(K6=0,0,MAX(ROUNDUP(K33/INDEX(CF_IN,3),0),ROUNDUP(K34/INDEX(CF_OUT,3),0),ROUNDUP(K31/INDEX(CF_PART,3),0),ROUNDUP(K32/INDEX(CF_COMPACT,3),0),ROUNDUP(K35/INDEX(CF_CONN,3),0),ROUNDUP(K36/INDEX(CF_REQ,3),0),K56))</f>
        <v/>
      </c>
    </row>
    <row r="58" ht="15.5" customHeight="1">
      <c r="A58" s="27" t="inlineStr">
        <is>
          <t>K.49</t>
        </is>
      </c>
      <c r="B58" s="26" t="inlineStr">
        <is>
          <t>Enterprise: maximum units</t>
        </is>
      </c>
      <c r="C58" s="27" t="inlineStr">
        <is>
          <t>units</t>
        </is>
      </c>
      <c r="D58" s="27" t="inlineStr">
        <is>
          <t>Cluster maximum for the type.</t>
        </is>
      </c>
      <c r="E58" s="27" t="inlineStr">
        <is>
          <t>C1</t>
        </is>
      </c>
      <c r="F58" s="35">
        <f>INDEX(CF_MAXU,3)</f>
        <v/>
      </c>
      <c r="G58" s="35">
        <f>INDEX(CF_MAXU,3)</f>
        <v/>
      </c>
      <c r="H58" s="35">
        <f>INDEX(CF_MAXU,3)</f>
        <v/>
      </c>
      <c r="I58" s="35">
        <f>INDEX(CF_MAXU,3)</f>
        <v/>
      </c>
      <c r="J58" s="35">
        <f>INDEX(CF_MAXU,3)</f>
        <v/>
      </c>
      <c r="K58" s="35">
        <f>INDEX(CF_MAXU,3)</f>
        <v/>
      </c>
    </row>
    <row r="59" ht="15.5" customHeight="1">
      <c r="A59" s="27" t="inlineStr">
        <is>
          <t>K.50</t>
        </is>
      </c>
      <c r="B59" s="26" t="inlineStr">
        <is>
          <t>Enterprise: fits within maximum</t>
        </is>
      </c>
      <c r="C59" s="27" t="inlineStr">
        <is>
          <t>Yes/No</t>
        </is>
      </c>
      <c r="D59" s="27" t="inlineStr"/>
      <c r="E59" s="27" t="inlineStr">
        <is>
          <t>C1</t>
        </is>
      </c>
      <c r="F59" s="11">
        <f>IF(F57&lt;=F58,"Yes","No")</f>
        <v/>
      </c>
      <c r="G59" s="11">
        <f>IF(G57&lt;=G58,"Yes","No")</f>
        <v/>
      </c>
      <c r="H59" s="11">
        <f>IF(H57&lt;=H58,"Yes","No")</f>
        <v/>
      </c>
      <c r="I59" s="11">
        <f>IF(I57&lt;=I58,"Yes","No")</f>
        <v/>
      </c>
      <c r="J59" s="11">
        <f>IF(J57&lt;=J58,"Yes","No")</f>
        <v/>
      </c>
      <c r="K59" s="11">
        <f>IF(K57&lt;=K58,"Yes","No")</f>
        <v/>
      </c>
    </row>
    <row r="60" ht="29" customHeight="1">
      <c r="A60" s="27" t="inlineStr">
        <is>
          <t>K.51</t>
        </is>
      </c>
      <c r="B60" s="26" t="inlineStr">
        <is>
          <t>Dedicated: eligible</t>
        </is>
      </c>
      <c r="C60" s="27" t="inlineStr">
        <is>
          <t>Yes/No</t>
        </is>
      </c>
      <c r="D60" s="27" t="inlineStr">
        <is>
          <t>Public or private networking; self-managed keys available on Azure.</t>
        </is>
      </c>
      <c r="E60" s="27" t="inlineStr">
        <is>
          <t>C1, C4</t>
        </is>
      </c>
      <c r="F60" s="11">
        <f>IF(F38&lt;=0.9999,"Yes","No")</f>
        <v/>
      </c>
      <c r="G60" s="11">
        <f>IF(G38&lt;=0.9999,"Yes","No")</f>
        <v/>
      </c>
      <c r="H60" s="11">
        <f>IF(H38&lt;=0.9999,"Yes","No")</f>
        <v/>
      </c>
      <c r="I60" s="11">
        <f>IF(I38&lt;=0.9999,"Yes","No")</f>
        <v/>
      </c>
      <c r="J60" s="11">
        <f>IF(J38&lt;=0.9999,"Yes","No")</f>
        <v/>
      </c>
      <c r="K60" s="11">
        <f>IF(K38&lt;=0.9999,"Yes","No")</f>
        <v/>
      </c>
    </row>
    <row r="61" ht="15.5" customHeight="1">
      <c r="A61" s="27" t="inlineStr">
        <is>
          <t>K.52</t>
        </is>
      </c>
      <c r="B61" s="26" t="inlineStr">
        <is>
          <t>Dedicated: SLA minimum units</t>
        </is>
      </c>
      <c r="C61" s="27" t="inlineStr">
        <is>
          <t>units</t>
        </is>
      </c>
      <c r="D61" s="27" t="inlineStr">
        <is>
          <t>2 CKU for 99.99 % or multi-zone, otherwise 1.</t>
        </is>
      </c>
      <c r="E61" s="27" t="inlineStr">
        <is>
          <t>C1</t>
        </is>
      </c>
      <c r="F61" s="35">
        <f>IF(OR(F38&gt;0.9995,F41="Yes"),2,1)</f>
        <v/>
      </c>
      <c r="G61" s="35">
        <f>IF(OR(G38&gt;0.9995,G41="Yes"),2,1)</f>
        <v/>
      </c>
      <c r="H61" s="35">
        <f>IF(OR(H38&gt;0.9995,H41="Yes"),2,1)</f>
        <v/>
      </c>
      <c r="I61" s="35">
        <f>IF(OR(I38&gt;0.9995,I41="Yes"),2,1)</f>
        <v/>
      </c>
      <c r="J61" s="35">
        <f>IF(OR(J38&gt;0.9995,J41="Yes"),2,1)</f>
        <v/>
      </c>
      <c r="K61" s="35">
        <f>IF(OR(K38&gt;0.9995,K41="Yes"),2,1)</f>
        <v/>
      </c>
    </row>
    <row r="62" ht="29" customHeight="1">
      <c r="A62" s="27" t="inlineStr">
        <is>
          <t>K.53</t>
        </is>
      </c>
      <c r="B62" s="26" t="inlineStr">
        <is>
          <t>Dedicated: units needed</t>
        </is>
      </c>
      <c r="C62" s="27" t="inlineStr">
        <is>
          <t>units</t>
        </is>
      </c>
      <c r="D62" s="27" t="inlineStr">
        <is>
          <t>Largest of: each planned dimension / the per-unit limit, rounded up, and the SLA minimum.</t>
        </is>
      </c>
      <c r="E62" s="27" t="inlineStr">
        <is>
          <t>C1</t>
        </is>
      </c>
      <c r="F62" s="35">
        <f>IF(F6=0,0,MAX(ROUNDUP(F33/INDEX(CF_IN,4),0),ROUNDUP(F34/INDEX(CF_OUT,4),0),ROUNDUP(F31/INDEX(CF_PART,4),0),ROUNDUP(F32/INDEX(CF_COMPACT,4),0),ROUNDUP(F35/INDEX(CF_CONN,4),0),ROUNDUP(F36/INDEX(CF_REQ,4),0),F61))</f>
        <v/>
      </c>
      <c r="G62" s="35">
        <f>IF(G6=0,0,MAX(ROUNDUP(G33/INDEX(CF_IN,4),0),ROUNDUP(G34/INDEX(CF_OUT,4),0),ROUNDUP(G31/INDEX(CF_PART,4),0),ROUNDUP(G32/INDEX(CF_COMPACT,4),0),ROUNDUP(G35/INDEX(CF_CONN,4),0),ROUNDUP(G36/INDEX(CF_REQ,4),0),G61))</f>
        <v/>
      </c>
      <c r="H62" s="35">
        <f>IF(H6=0,0,MAX(ROUNDUP(H33/INDEX(CF_IN,4),0),ROUNDUP(H34/INDEX(CF_OUT,4),0),ROUNDUP(H31/INDEX(CF_PART,4),0),ROUNDUP(H32/INDEX(CF_COMPACT,4),0),ROUNDUP(H35/INDEX(CF_CONN,4),0),ROUNDUP(H36/INDEX(CF_REQ,4),0),H61))</f>
        <v/>
      </c>
      <c r="I62" s="35">
        <f>IF(I6=0,0,MAX(ROUNDUP(I33/INDEX(CF_IN,4),0),ROUNDUP(I34/INDEX(CF_OUT,4),0),ROUNDUP(I31/INDEX(CF_PART,4),0),ROUNDUP(I32/INDEX(CF_COMPACT,4),0),ROUNDUP(I35/INDEX(CF_CONN,4),0),ROUNDUP(I36/INDEX(CF_REQ,4),0),I61))</f>
        <v/>
      </c>
      <c r="J62" s="35">
        <f>IF(J6=0,0,MAX(ROUNDUP(J33/INDEX(CF_IN,4),0),ROUNDUP(J34/INDEX(CF_OUT,4),0),ROUNDUP(J31/INDEX(CF_PART,4),0),ROUNDUP(J32/INDEX(CF_COMPACT,4),0),ROUNDUP(J35/INDEX(CF_CONN,4),0),ROUNDUP(J36/INDEX(CF_REQ,4),0),J61))</f>
        <v/>
      </c>
      <c r="K62" s="35">
        <f>IF(K6=0,0,MAX(ROUNDUP(K33/INDEX(CF_IN,4),0),ROUNDUP(K34/INDEX(CF_OUT,4),0),ROUNDUP(K31/INDEX(CF_PART,4),0),ROUNDUP(K32/INDEX(CF_COMPACT,4),0),ROUNDUP(K35/INDEX(CF_CONN,4),0),ROUNDUP(K36/INDEX(CF_REQ,4),0),K61))</f>
        <v/>
      </c>
    </row>
    <row r="63" ht="15.5" customHeight="1">
      <c r="A63" s="27" t="inlineStr">
        <is>
          <t>K.54</t>
        </is>
      </c>
      <c r="B63" s="26" t="inlineStr">
        <is>
          <t>Dedicated: maximum units</t>
        </is>
      </c>
      <c r="C63" s="27" t="inlineStr">
        <is>
          <t>units</t>
        </is>
      </c>
      <c r="D63" s="27" t="inlineStr">
        <is>
          <t>Purchase limit: 4 CKU with credit card, 24 with invoice.</t>
        </is>
      </c>
      <c r="E63" s="27" t="inlineStr">
        <is>
          <t>C1</t>
        </is>
      </c>
      <c r="F63" s="35">
        <f>IF(F43="Credit card",CF_DED_CARD,CF_DED_INVOICE)</f>
        <v/>
      </c>
      <c r="G63" s="35">
        <f>IF(G43="Credit card",CF_DED_CARD,CF_DED_INVOICE)</f>
        <v/>
      </c>
      <c r="H63" s="35">
        <f>IF(H43="Credit card",CF_DED_CARD,CF_DED_INVOICE)</f>
        <v/>
      </c>
      <c r="I63" s="35">
        <f>IF(I43="Credit card",CF_DED_CARD,CF_DED_INVOICE)</f>
        <v/>
      </c>
      <c r="J63" s="35">
        <f>IF(J43="Credit card",CF_DED_CARD,CF_DED_INVOICE)</f>
        <v/>
      </c>
      <c r="K63" s="35">
        <f>IF(K43="Credit card",CF_DED_CARD,CF_DED_INVOICE)</f>
        <v/>
      </c>
    </row>
    <row r="64" ht="15.5" customHeight="1">
      <c r="A64" s="27" t="inlineStr">
        <is>
          <t>K.55</t>
        </is>
      </c>
      <c r="B64" s="26" t="inlineStr">
        <is>
          <t>Dedicated: fits within maximum</t>
        </is>
      </c>
      <c r="C64" s="27" t="inlineStr">
        <is>
          <t>Yes/No</t>
        </is>
      </c>
      <c r="D64" s="27" t="inlineStr"/>
      <c r="E64" s="27" t="inlineStr">
        <is>
          <t>C1</t>
        </is>
      </c>
      <c r="F64" s="11">
        <f>IF(F62&lt;=F63,"Yes","No")</f>
        <v/>
      </c>
      <c r="G64" s="11">
        <f>IF(G62&lt;=G63,"Yes","No")</f>
        <v/>
      </c>
      <c r="H64" s="11">
        <f>IF(H62&lt;=H63,"Yes","No")</f>
        <v/>
      </c>
      <c r="I64" s="11">
        <f>IF(I62&lt;=I63,"Yes","No")</f>
        <v/>
      </c>
      <c r="J64" s="11">
        <f>IF(J62&lt;=J63,"Yes","No")</f>
        <v/>
      </c>
      <c r="K64" s="11">
        <f>IF(K62&lt;=K63,"Yes","No")</f>
        <v/>
      </c>
    </row>
    <row r="65" ht="16" customHeight="1">
      <c r="A65" s="31" t="inlineStr">
        <is>
          <t>F. Recommended Confluent Cloud cluster</t>
        </is>
      </c>
      <c r="B65" s="32" t="n"/>
      <c r="C65" s="32" t="n"/>
      <c r="D65" s="32" t="n"/>
      <c r="E65" s="32" t="n"/>
      <c r="F65" s="32" t="n"/>
      <c r="G65" s="32" t="n"/>
      <c r="H65" s="32" t="n"/>
      <c r="I65" s="32" t="n"/>
      <c r="J65" s="32" t="n"/>
      <c r="K65" s="32" t="n"/>
    </row>
    <row r="66" ht="42.5" customHeight="1">
      <c r="A66" s="27" t="inlineStr">
        <is>
          <t>K.56</t>
        </is>
      </c>
      <c r="B66" s="26" t="inlineStr">
        <is>
          <t>Type chosen by the workbook rule</t>
        </is>
      </c>
      <c r="C66" s="27" t="inlineStr">
        <is>
          <t>text</t>
        </is>
      </c>
      <c r="D66" s="27" t="inlineStr">
        <is>
          <t>First type, in the order Basic, Standard, Enterprise, Dedicated, that is eligible and fits within its maximum (W). The order follows Confluent's 'best for' guidance for each type.</t>
        </is>
      </c>
      <c r="E66" s="27" t="inlineStr">
        <is>
          <t>C1, W</t>
        </is>
      </c>
      <c r="F66" s="11">
        <f>IF(F6=0,"Not used",IF(AND(F45="Yes",F49="Yes"),"Basic",IF(AND(F50="Yes",F54="Yes"),"Standard",IF(AND(F55="Yes",F59="Yes"),"Enterprise","Dedicated"))))</f>
        <v/>
      </c>
      <c r="G66" s="11">
        <f>IF(G6=0,"Not used",IF(AND(G45="Yes",G49="Yes"),"Basic",IF(AND(G50="Yes",G54="Yes"),"Standard",IF(AND(G55="Yes",G59="Yes"),"Enterprise","Dedicated"))))</f>
        <v/>
      </c>
      <c r="H66" s="11">
        <f>IF(H6=0,"Not used",IF(AND(H45="Yes",H49="Yes"),"Basic",IF(AND(H50="Yes",H54="Yes"),"Standard",IF(AND(H55="Yes",H59="Yes"),"Enterprise","Dedicated"))))</f>
        <v/>
      </c>
      <c r="I66" s="11">
        <f>IF(I6=0,"Not used",IF(AND(I45="Yes",I49="Yes"),"Basic",IF(AND(I50="Yes",I54="Yes"),"Standard",IF(AND(I55="Yes",I59="Yes"),"Enterprise","Dedicated"))))</f>
        <v/>
      </c>
      <c r="J66" s="11">
        <f>IF(J6=0,"Not used",IF(AND(J45="Yes",J49="Yes"),"Basic",IF(AND(J50="Yes",J54="Yes"),"Standard",IF(AND(J55="Yes",J59="Yes"),"Enterprise","Dedicated"))))</f>
        <v/>
      </c>
      <c r="K66" s="11">
        <f>IF(K6=0,"Not used",IF(AND(K45="Yes",K49="Yes"),"Basic",IF(AND(K50="Yes",K54="Yes"),"Standard",IF(AND(K55="Yes",K59="Yes"),"Enterprise","Dedicated"))))</f>
        <v/>
      </c>
    </row>
    <row r="67" ht="15.5" customHeight="1">
      <c r="A67" s="27" t="inlineStr">
        <is>
          <t>K.57</t>
        </is>
      </c>
      <c r="B67" s="26" t="inlineStr">
        <is>
          <t>Recommended cluster type</t>
        </is>
      </c>
      <c r="C67" s="27" t="inlineStr">
        <is>
          <t>text</t>
        </is>
      </c>
      <c r="D67" s="27" t="inlineStr">
        <is>
          <t>The preferred type if one is set, otherwise the rule above.</t>
        </is>
      </c>
      <c r="E67" s="27" t="inlineStr">
        <is>
          <t>C1</t>
        </is>
      </c>
      <c r="F67" s="12">
        <f>IF(F6=0,"Not used",IF(F42="Auto",F66,F42))</f>
        <v/>
      </c>
      <c r="G67" s="12">
        <f>IF(G6=0,"Not used",IF(G42="Auto",G66,G42))</f>
        <v/>
      </c>
      <c r="H67" s="12">
        <f>IF(H6=0,"Not used",IF(H42="Auto",H66,H42))</f>
        <v/>
      </c>
      <c r="I67" s="12">
        <f>IF(I6=0,"Not used",IF(I42="Auto",I66,I42))</f>
        <v/>
      </c>
      <c r="J67" s="12">
        <f>IF(J6=0,"Not used",IF(J42="Auto",J66,J42))</f>
        <v/>
      </c>
      <c r="K67" s="12">
        <f>IF(K6=0,"Not used",IF(K42="Auto",K66,K42))</f>
        <v/>
      </c>
    </row>
    <row r="68" ht="15.5" customHeight="1">
      <c r="A68" s="27" t="inlineStr">
        <is>
          <t>K.58</t>
        </is>
      </c>
      <c r="B68" s="26" t="inlineStr">
        <is>
          <t>Type position (1 Basic to 4 Dedicated)</t>
        </is>
      </c>
      <c r="C68" s="27" t="inlineStr">
        <is>
          <t>1-4</t>
        </is>
      </c>
      <c r="D68" s="27" t="inlineStr"/>
      <c r="E68" s="27" t="inlineStr">
        <is>
          <t>-</t>
        </is>
      </c>
      <c r="F68" s="35">
        <f>IFERROR(MATCH(F67,CF_TYPES,0),0)</f>
        <v/>
      </c>
      <c r="G68" s="35">
        <f>IFERROR(MATCH(G67,CF_TYPES,0),0)</f>
        <v/>
      </c>
      <c r="H68" s="35">
        <f>IFERROR(MATCH(H67,CF_TYPES,0),0)</f>
        <v/>
      </c>
      <c r="I68" s="35">
        <f>IFERROR(MATCH(I67,CF_TYPES,0),0)</f>
        <v/>
      </c>
      <c r="J68" s="35">
        <f>IFERROR(MATCH(J67,CF_TYPES,0),0)</f>
        <v/>
      </c>
      <c r="K68" s="35">
        <f>IFERROR(MATCH(K67,CF_TYPES,0),0)</f>
        <v/>
      </c>
    </row>
    <row r="69" ht="15.5" customHeight="1">
      <c r="A69" s="27" t="inlineStr">
        <is>
          <t>K.59</t>
        </is>
      </c>
      <c r="B69" s="26" t="inlineStr">
        <is>
          <t>Capacity unit</t>
        </is>
      </c>
      <c r="C69" s="27" t="inlineStr">
        <is>
          <t>text</t>
        </is>
      </c>
      <c r="D69" s="27" t="inlineStr">
        <is>
          <t>eCKU for elastic types; CKU for Dedicated.</t>
        </is>
      </c>
      <c r="E69" s="27" t="inlineStr">
        <is>
          <t>C1</t>
        </is>
      </c>
      <c r="F69" s="11">
        <f>IF(F68=0,"-",IF(F67="Dedicated","CKU","eCKU"))</f>
        <v/>
      </c>
      <c r="G69" s="11">
        <f>IF(G68=0,"-",IF(G67="Dedicated","CKU","eCKU"))</f>
        <v/>
      </c>
      <c r="H69" s="11">
        <f>IF(H68=0,"-",IF(H67="Dedicated","CKU","eCKU"))</f>
        <v/>
      </c>
      <c r="I69" s="11">
        <f>IF(I68=0,"-",IF(I67="Dedicated","CKU","eCKU"))</f>
        <v/>
      </c>
      <c r="J69" s="11">
        <f>IF(J68=0,"-",IF(J67="Dedicated","CKU","eCKU"))</f>
        <v/>
      </c>
      <c r="K69" s="11">
        <f>IF(K68=0,"-",IF(K67="Dedicated","CKU","eCKU"))</f>
        <v/>
      </c>
    </row>
    <row r="70" ht="15.5" customHeight="1">
      <c r="A70" s="27" t="inlineStr">
        <is>
          <t>K.60</t>
        </is>
      </c>
      <c r="B70" s="26" t="inlineStr">
        <is>
          <t>Recommended units</t>
        </is>
      </c>
      <c r="C70" s="27" t="inlineStr">
        <is>
          <t>units</t>
        </is>
      </c>
      <c r="D70" s="27" t="inlineStr">
        <is>
          <t>Units needed for the recommended type.</t>
        </is>
      </c>
      <c r="E70" s="27" t="inlineStr">
        <is>
          <t>C1</t>
        </is>
      </c>
      <c r="F70" s="46">
        <f>IF(F68=0,0,CHOOSE(F68,F47,F52,F57,F62))</f>
        <v/>
      </c>
      <c r="G70" s="46">
        <f>IF(G68=0,0,CHOOSE(G68,G47,G52,G57,G62))</f>
        <v/>
      </c>
      <c r="H70" s="46">
        <f>IF(H68=0,0,CHOOSE(H68,H47,H52,H57,H62))</f>
        <v/>
      </c>
      <c r="I70" s="46">
        <f>IF(I68=0,0,CHOOSE(I68,I47,I52,I57,I62))</f>
        <v/>
      </c>
      <c r="J70" s="46">
        <f>IF(J68=0,0,CHOOSE(J68,J47,J52,J57,J62))</f>
        <v/>
      </c>
      <c r="K70" s="46">
        <f>IF(K68=0,0,CHOOSE(K68,K47,K52,K57,K62))</f>
        <v/>
      </c>
    </row>
    <row r="71" ht="15.5" customHeight="1">
      <c r="A71" s="27" t="inlineStr">
        <is>
          <t>K.61</t>
        </is>
      </c>
      <c r="B71" s="26" t="inlineStr">
        <is>
          <t>Maximum units for the type</t>
        </is>
      </c>
      <c r="C71" s="27" t="inlineStr">
        <is>
          <t>units</t>
        </is>
      </c>
      <c r="D71" s="27" t="inlineStr"/>
      <c r="E71" s="27" t="inlineStr">
        <is>
          <t>C1</t>
        </is>
      </c>
      <c r="F71" s="35">
        <f>IF(F68=0,0,CHOOSE(F68,F48,F53,F58,F63))</f>
        <v/>
      </c>
      <c r="G71" s="35">
        <f>IF(G68=0,0,CHOOSE(G68,G48,G53,G58,G63))</f>
        <v/>
      </c>
      <c r="H71" s="35">
        <f>IF(H68=0,0,CHOOSE(H68,H48,H53,H58,H63))</f>
        <v/>
      </c>
      <c r="I71" s="35">
        <f>IF(I68=0,0,CHOOSE(I68,I48,I53,I58,I63))</f>
        <v/>
      </c>
      <c r="J71" s="35">
        <f>IF(J68=0,0,CHOOSE(J68,J48,J53,J58,J63))</f>
        <v/>
      </c>
      <c r="K71" s="35">
        <f>IF(K68=0,0,CHOOSE(K68,K48,K53,K58,K63))</f>
        <v/>
      </c>
    </row>
    <row r="72" ht="15.5" customHeight="1">
      <c r="A72" s="27" t="inlineStr">
        <is>
          <t>K.62</t>
        </is>
      </c>
      <c r="B72" s="26" t="inlineStr">
        <is>
          <t>Units for partitions</t>
        </is>
      </c>
      <c r="C72" s="27" t="inlineStr">
        <is>
          <t>units</t>
        </is>
      </c>
      <c r="D72" s="27" t="inlineStr">
        <is>
          <t>Planned leader partitions / partitions per unit.</t>
        </is>
      </c>
      <c r="E72" s="27" t="inlineStr">
        <is>
          <t>C1</t>
        </is>
      </c>
      <c r="F72" s="35">
        <f>IF(F68=0,0,ROUNDUP(F31/INDEX(CF_PART,F68),0))</f>
        <v/>
      </c>
      <c r="G72" s="35">
        <f>IF(G68=0,0,ROUNDUP(G31/INDEX(CF_PART,G68),0))</f>
        <v/>
      </c>
      <c r="H72" s="35">
        <f>IF(H68=0,0,ROUNDUP(H31/INDEX(CF_PART,H68),0))</f>
        <v/>
      </c>
      <c r="I72" s="35">
        <f>IF(I68=0,0,ROUNDUP(I31/INDEX(CF_PART,I68),0))</f>
        <v/>
      </c>
      <c r="J72" s="35">
        <f>IF(J68=0,0,ROUNDUP(J31/INDEX(CF_PART,J68),0))</f>
        <v/>
      </c>
      <c r="K72" s="35">
        <f>IF(K68=0,0,ROUNDUP(K31/INDEX(CF_PART,K68),0))</f>
        <v/>
      </c>
    </row>
    <row r="73" ht="15.5" customHeight="1">
      <c r="A73" s="27" t="inlineStr">
        <is>
          <t>K.63</t>
        </is>
      </c>
      <c r="B73" s="26" t="inlineStr">
        <is>
          <t>Units for ingress</t>
        </is>
      </c>
      <c r="C73" s="27" t="inlineStr">
        <is>
          <t>units</t>
        </is>
      </c>
      <c r="D73" s="27" t="inlineStr">
        <is>
          <t>Planned ingress / ingress per unit.</t>
        </is>
      </c>
      <c r="E73" s="27" t="inlineStr">
        <is>
          <t>C1</t>
        </is>
      </c>
      <c r="F73" s="35">
        <f>IF(F68=0,0,ROUNDUP(F33/INDEX(CF_IN,F68),0))</f>
        <v/>
      </c>
      <c r="G73" s="35">
        <f>IF(G68=0,0,ROUNDUP(G33/INDEX(CF_IN,G68),0))</f>
        <v/>
      </c>
      <c r="H73" s="35">
        <f>IF(H68=0,0,ROUNDUP(H33/INDEX(CF_IN,H68),0))</f>
        <v/>
      </c>
      <c r="I73" s="35">
        <f>IF(I68=0,0,ROUNDUP(I33/INDEX(CF_IN,I68),0))</f>
        <v/>
      </c>
      <c r="J73" s="35">
        <f>IF(J68=0,0,ROUNDUP(J33/INDEX(CF_IN,J68),0))</f>
        <v/>
      </c>
      <c r="K73" s="35">
        <f>IF(K68=0,0,ROUNDUP(K33/INDEX(CF_IN,K68),0))</f>
        <v/>
      </c>
    </row>
    <row r="74" ht="15.5" customHeight="1">
      <c r="A74" s="27" t="inlineStr">
        <is>
          <t>K.64</t>
        </is>
      </c>
      <c r="B74" s="26" t="inlineStr">
        <is>
          <t>Units for egress</t>
        </is>
      </c>
      <c r="C74" s="27" t="inlineStr">
        <is>
          <t>units</t>
        </is>
      </c>
      <c r="D74" s="27" t="inlineStr">
        <is>
          <t>Planned egress / egress per unit.</t>
        </is>
      </c>
      <c r="E74" s="27" t="inlineStr">
        <is>
          <t>C1</t>
        </is>
      </c>
      <c r="F74" s="35">
        <f>IF(F68=0,0,ROUNDUP(F34/INDEX(CF_OUT,F68),0))</f>
        <v/>
      </c>
      <c r="G74" s="35">
        <f>IF(G68=0,0,ROUNDUP(G34/INDEX(CF_OUT,G68),0))</f>
        <v/>
      </c>
      <c r="H74" s="35">
        <f>IF(H68=0,0,ROUNDUP(H34/INDEX(CF_OUT,H68),0))</f>
        <v/>
      </c>
      <c r="I74" s="35">
        <f>IF(I68=0,0,ROUNDUP(I34/INDEX(CF_OUT,I68),0))</f>
        <v/>
      </c>
      <c r="J74" s="35">
        <f>IF(J68=0,0,ROUNDUP(J34/INDEX(CF_OUT,J68),0))</f>
        <v/>
      </c>
      <c r="K74" s="35">
        <f>IF(K68=0,0,ROUNDUP(K34/INDEX(CF_OUT,K68),0))</f>
        <v/>
      </c>
    </row>
    <row r="75" ht="15.5" customHeight="1">
      <c r="A75" s="27" t="inlineStr">
        <is>
          <t>K.65</t>
        </is>
      </c>
      <c r="B75" s="26" t="inlineStr">
        <is>
          <t>Units for compacted partitions</t>
        </is>
      </c>
      <c r="C75" s="27" t="inlineStr">
        <is>
          <t>units</t>
        </is>
      </c>
      <c r="D75" s="27" t="inlineStr"/>
      <c r="E75" s="27" t="inlineStr">
        <is>
          <t>C1</t>
        </is>
      </c>
      <c r="F75" s="35">
        <f>IF(F68=0,0,ROUNDUP(F32/INDEX(CF_COMPACT,F68),0))</f>
        <v/>
      </c>
      <c r="G75" s="35">
        <f>IF(G68=0,0,ROUNDUP(G32/INDEX(CF_COMPACT,G68),0))</f>
        <v/>
      </c>
      <c r="H75" s="35">
        <f>IF(H68=0,0,ROUNDUP(H32/INDEX(CF_COMPACT,H68),0))</f>
        <v/>
      </c>
      <c r="I75" s="35">
        <f>IF(I68=0,0,ROUNDUP(I32/INDEX(CF_COMPACT,I68),0))</f>
        <v/>
      </c>
      <c r="J75" s="35">
        <f>IF(J68=0,0,ROUNDUP(J32/INDEX(CF_COMPACT,J68),0))</f>
        <v/>
      </c>
      <c r="K75" s="35">
        <f>IF(K68=0,0,ROUNDUP(K32/INDEX(CF_COMPACT,K68),0))</f>
        <v/>
      </c>
    </row>
    <row r="76" ht="15.5" customHeight="1">
      <c r="A76" s="27" t="inlineStr">
        <is>
          <t>K.66</t>
        </is>
      </c>
      <c r="B76" s="26" t="inlineStr">
        <is>
          <t>Units for client connections</t>
        </is>
      </c>
      <c r="C76" s="27" t="inlineStr">
        <is>
          <t>units</t>
        </is>
      </c>
      <c r="D76" s="27" t="inlineStr"/>
      <c r="E76" s="27" t="inlineStr">
        <is>
          <t>C1</t>
        </is>
      </c>
      <c r="F76" s="35">
        <f>IF(F68=0,0,ROUNDUP(F35/INDEX(CF_CONN,F68),0))</f>
        <v/>
      </c>
      <c r="G76" s="35">
        <f>IF(G68=0,0,ROUNDUP(G35/INDEX(CF_CONN,G68),0))</f>
        <v/>
      </c>
      <c r="H76" s="35">
        <f>IF(H68=0,0,ROUNDUP(H35/INDEX(CF_CONN,H68),0))</f>
        <v/>
      </c>
      <c r="I76" s="35">
        <f>IF(I68=0,0,ROUNDUP(I35/INDEX(CF_CONN,I68),0))</f>
        <v/>
      </c>
      <c r="J76" s="35">
        <f>IF(J68=0,0,ROUNDUP(J35/INDEX(CF_CONN,J68),0))</f>
        <v/>
      </c>
      <c r="K76" s="35">
        <f>IF(K68=0,0,ROUNDUP(K35/INDEX(CF_CONN,K68),0))</f>
        <v/>
      </c>
    </row>
    <row r="77" ht="15.5" customHeight="1">
      <c r="A77" s="27" t="inlineStr">
        <is>
          <t>K.67</t>
        </is>
      </c>
      <c r="B77" s="26" t="inlineStr">
        <is>
          <t>Units for requests</t>
        </is>
      </c>
      <c r="C77" s="27" t="inlineStr">
        <is>
          <t>units</t>
        </is>
      </c>
      <c r="D77" s="27" t="inlineStr"/>
      <c r="E77" s="27" t="inlineStr">
        <is>
          <t>C1</t>
        </is>
      </c>
      <c r="F77" s="35">
        <f>IF(F68=0,0,ROUNDUP(F36/INDEX(CF_REQ,F68),0))</f>
        <v/>
      </c>
      <c r="G77" s="35">
        <f>IF(G68=0,0,ROUNDUP(G36/INDEX(CF_REQ,G68),0))</f>
        <v/>
      </c>
      <c r="H77" s="35">
        <f>IF(H68=0,0,ROUNDUP(H36/INDEX(CF_REQ,H68),0))</f>
        <v/>
      </c>
      <c r="I77" s="35">
        <f>IF(I68=0,0,ROUNDUP(I36/INDEX(CF_REQ,I68),0))</f>
        <v/>
      </c>
      <c r="J77" s="35">
        <f>IF(J68=0,0,ROUNDUP(J36/INDEX(CF_REQ,J68),0))</f>
        <v/>
      </c>
      <c r="K77" s="35">
        <f>IF(K68=0,0,ROUNDUP(K36/INDEX(CF_REQ,K68),0))</f>
        <v/>
      </c>
    </row>
    <row r="78" ht="15.5" customHeight="1">
      <c r="A78" s="27" t="inlineStr">
        <is>
          <t>K.68</t>
        </is>
      </c>
      <c r="B78" s="26" t="inlineStr">
        <is>
          <t>Units for the SLA</t>
        </is>
      </c>
      <c r="C78" s="27" t="inlineStr">
        <is>
          <t>units</t>
        </is>
      </c>
      <c r="D78" s="27" t="inlineStr"/>
      <c r="E78" s="27" t="inlineStr">
        <is>
          <t>C1</t>
        </is>
      </c>
      <c r="F78" s="35">
        <f>IF(F68=0,0,CHOOSE(F68,F46,F51,F56,F61))</f>
        <v/>
      </c>
      <c r="G78" s="35">
        <f>IF(G68=0,0,CHOOSE(G68,G46,G51,G56,G61))</f>
        <v/>
      </c>
      <c r="H78" s="35">
        <f>IF(H68=0,0,CHOOSE(H68,H46,H51,H56,H61))</f>
        <v/>
      </c>
      <c r="I78" s="35">
        <f>IF(I68=0,0,CHOOSE(I68,I46,I51,I56,I61))</f>
        <v/>
      </c>
      <c r="J78" s="35">
        <f>IF(J68=0,0,CHOOSE(J68,J46,J51,J56,J61))</f>
        <v/>
      </c>
      <c r="K78" s="35">
        <f>IF(K68=0,0,CHOOSE(K68,K46,K51,K56,K61))</f>
        <v/>
      </c>
    </row>
    <row r="79" ht="29" customHeight="1">
      <c r="A79" s="27" t="inlineStr">
        <is>
          <t>K.69</t>
        </is>
      </c>
      <c r="B79" s="26" t="inlineStr">
        <is>
          <t>Dimension that sets the size</t>
        </is>
      </c>
      <c r="C79" s="27" t="inlineStr">
        <is>
          <t>text</t>
        </is>
      </c>
      <c r="D79" s="27" t="inlineStr">
        <is>
          <t>The first dimension, in the order listed above, whose units equal the recommendation.</t>
        </is>
      </c>
      <c r="E79" s="27" t="inlineStr">
        <is>
          <t>C1</t>
        </is>
      </c>
      <c r="F79" s="12">
        <f>IF(F68=0,"-",IF(F70=F72,"Partitions",IF(F70=F73,"Ingress",IF(F70=F74,"Egress",IF(F70=F75,"Compacted partitions",IF(F70=F76,"Client connections",IF(F70=F77,"Requests","SLA minimum")))))))</f>
        <v/>
      </c>
      <c r="G79" s="12">
        <f>IF(G68=0,"-",IF(G70=G72,"Partitions",IF(G70=G73,"Ingress",IF(G70=G74,"Egress",IF(G70=G75,"Compacted partitions",IF(G70=G76,"Client connections",IF(G70=G77,"Requests","SLA minimum")))))))</f>
        <v/>
      </c>
      <c r="H79" s="12">
        <f>IF(H68=0,"-",IF(H70=H72,"Partitions",IF(H70=H73,"Ingress",IF(H70=H74,"Egress",IF(H70=H75,"Compacted partitions",IF(H70=H76,"Client connections",IF(H70=H77,"Requests","SLA minimum")))))))</f>
        <v/>
      </c>
      <c r="I79" s="12">
        <f>IF(I68=0,"-",IF(I70=I72,"Partitions",IF(I70=I73,"Ingress",IF(I70=I74,"Egress",IF(I70=I75,"Compacted partitions",IF(I70=I76,"Client connections",IF(I70=I77,"Requests","SLA minimum")))))))</f>
        <v/>
      </c>
      <c r="J79" s="12">
        <f>IF(J68=0,"-",IF(J70=J72,"Partitions",IF(J70=J73,"Ingress",IF(J70=J74,"Egress",IF(J70=J75,"Compacted partitions",IF(J70=J76,"Client connections",IF(J70=J77,"Requests","SLA minimum")))))))</f>
        <v/>
      </c>
      <c r="K79" s="12">
        <f>IF(K68=0,"-",IF(K70=K72,"Partitions",IF(K70=K73,"Ingress",IF(K70=K74,"Egress",IF(K70=K75,"Compacted partitions",IF(K70=K76,"Client connections",IF(K70=K77,"Requests","SLA minimum")))))))</f>
        <v/>
      </c>
    </row>
    <row r="80" ht="15.5" customHeight="1">
      <c r="A80" s="27" t="inlineStr">
        <is>
          <t>K.70</t>
        </is>
      </c>
      <c r="B80" s="26" t="inlineStr">
        <is>
          <t>Partition use at today's demand</t>
        </is>
      </c>
      <c r="C80" s="27" t="inlineStr">
        <is>
          <t>%</t>
        </is>
      </c>
      <c r="D80" s="27" t="inlineStr">
        <is>
          <t>Leader partitions / (units x partitions per unit).</t>
        </is>
      </c>
      <c r="E80" s="27" t="inlineStr">
        <is>
          <t>C1</t>
        </is>
      </c>
      <c r="F80" s="44">
        <f>IF(F70=0,0,F13/(F70*INDEX(CF_PART,F68)))</f>
        <v/>
      </c>
      <c r="G80" s="44">
        <f>IF(G70=0,0,G13/(G70*INDEX(CF_PART,G68)))</f>
        <v/>
      </c>
      <c r="H80" s="44">
        <f>IF(H70=0,0,H13/(H70*INDEX(CF_PART,H68)))</f>
        <v/>
      </c>
      <c r="I80" s="44">
        <f>IF(I70=0,0,I13/(I70*INDEX(CF_PART,I68)))</f>
        <v/>
      </c>
      <c r="J80" s="44">
        <f>IF(J70=0,0,J13/(J70*INDEX(CF_PART,J68)))</f>
        <v/>
      </c>
      <c r="K80" s="44">
        <f>IF(K70=0,0,K13/(K70*INDEX(CF_PART,K68)))</f>
        <v/>
      </c>
    </row>
    <row r="81" ht="15.5" customHeight="1">
      <c r="A81" s="27" t="inlineStr">
        <is>
          <t>K.71</t>
        </is>
      </c>
      <c r="B81" s="26" t="inlineStr">
        <is>
          <t>Ingress use at today's peak</t>
        </is>
      </c>
      <c r="C81" s="27" t="inlineStr">
        <is>
          <t>%</t>
        </is>
      </c>
      <c r="D81" s="27" t="inlineStr"/>
      <c r="E81" s="27" t="inlineStr">
        <is>
          <t>C1</t>
        </is>
      </c>
      <c r="F81" s="44">
        <f>IF(F70=0,0,F15/(F70*INDEX(CF_IN,F68)))</f>
        <v/>
      </c>
      <c r="G81" s="44">
        <f>IF(G70=0,0,G15/(G70*INDEX(CF_IN,G68)))</f>
        <v/>
      </c>
      <c r="H81" s="44">
        <f>IF(H70=0,0,H15/(H70*INDEX(CF_IN,H68)))</f>
        <v/>
      </c>
      <c r="I81" s="44">
        <f>IF(I70=0,0,I15/(I70*INDEX(CF_IN,I68)))</f>
        <v/>
      </c>
      <c r="J81" s="44">
        <f>IF(J70=0,0,J15/(J70*INDEX(CF_IN,J68)))</f>
        <v/>
      </c>
      <c r="K81" s="44">
        <f>IF(K70=0,0,K15/(K70*INDEX(CF_IN,K68)))</f>
        <v/>
      </c>
    </row>
    <row r="82" ht="15.5" customHeight="1">
      <c r="A82" s="27" t="inlineStr">
        <is>
          <t>K.72</t>
        </is>
      </c>
      <c r="B82" s="26" t="inlineStr">
        <is>
          <t>Egress use at today's peak</t>
        </is>
      </c>
      <c r="C82" s="27" t="inlineStr">
        <is>
          <t>%</t>
        </is>
      </c>
      <c r="D82" s="27" t="inlineStr"/>
      <c r="E82" s="27" t="inlineStr">
        <is>
          <t>C1</t>
        </is>
      </c>
      <c r="F82" s="44">
        <f>IF(F70=0,0,F16/(F70*INDEX(CF_OUT,F68)))</f>
        <v/>
      </c>
      <c r="G82" s="44">
        <f>IF(G70=0,0,G16/(G70*INDEX(CF_OUT,G68)))</f>
        <v/>
      </c>
      <c r="H82" s="44">
        <f>IF(H70=0,0,H16/(H70*INDEX(CF_OUT,H68)))</f>
        <v/>
      </c>
      <c r="I82" s="44">
        <f>IF(I70=0,0,I16/(I70*INDEX(CF_OUT,I68)))</f>
        <v/>
      </c>
      <c r="J82" s="44">
        <f>IF(J70=0,0,J16/(J70*INDEX(CF_OUT,J68)))</f>
        <v/>
      </c>
      <c r="K82" s="44">
        <f>IF(K70=0,0,K16/(K70*INDEX(CF_OUT,K68)))</f>
        <v/>
      </c>
    </row>
    <row r="83" ht="15.5" customHeight="1">
      <c r="A83" s="27" t="inlineStr">
        <is>
          <t>K.73</t>
        </is>
      </c>
      <c r="B83" s="26" t="inlineStr">
        <is>
          <t>Connection use at today's peak</t>
        </is>
      </c>
      <c r="C83" s="27" t="inlineStr">
        <is>
          <t>%</t>
        </is>
      </c>
      <c r="D83" s="27" t="inlineStr"/>
      <c r="E83" s="27" t="inlineStr">
        <is>
          <t>C1</t>
        </is>
      </c>
      <c r="F83" s="44">
        <f>IF(F70=0,0,F17/(F70*INDEX(CF_CONN,F68)))</f>
        <v/>
      </c>
      <c r="G83" s="44">
        <f>IF(G70=0,0,G17/(G70*INDEX(CF_CONN,G68)))</f>
        <v/>
      </c>
      <c r="H83" s="44">
        <f>IF(H70=0,0,H17/(H70*INDEX(CF_CONN,H68)))</f>
        <v/>
      </c>
      <c r="I83" s="44">
        <f>IF(I70=0,0,I17/(I70*INDEX(CF_CONN,I68)))</f>
        <v/>
      </c>
      <c r="J83" s="44">
        <f>IF(J70=0,0,J17/(J70*INDEX(CF_CONN,J68)))</f>
        <v/>
      </c>
      <c r="K83" s="44">
        <f>IF(K70=0,0,K17/(K70*INDEX(CF_CONN,K68)))</f>
        <v/>
      </c>
    </row>
    <row r="84" ht="15.5" customHeight="1">
      <c r="A84" s="27" t="inlineStr">
        <is>
          <t>K.74</t>
        </is>
      </c>
      <c r="B84" s="26" t="inlineStr">
        <is>
          <t>Request use at today's peak</t>
        </is>
      </c>
      <c r="C84" s="27" t="inlineStr">
        <is>
          <t>%</t>
        </is>
      </c>
      <c r="D84" s="27" t="inlineStr"/>
      <c r="E84" s="27" t="inlineStr">
        <is>
          <t>C1</t>
        </is>
      </c>
      <c r="F84" s="44">
        <f>IF(F70=0,0,F18/(F70*INDEX(CF_REQ,F68)))</f>
        <v/>
      </c>
      <c r="G84" s="44">
        <f>IF(G70=0,0,G18/(G70*INDEX(CF_REQ,G68)))</f>
        <v/>
      </c>
      <c r="H84" s="44">
        <f>IF(H70=0,0,H18/(H70*INDEX(CF_REQ,H68)))</f>
        <v/>
      </c>
      <c r="I84" s="44">
        <f>IF(I70=0,0,I18/(I70*INDEX(CF_REQ,I68)))</f>
        <v/>
      </c>
      <c r="J84" s="44">
        <f>IF(J70=0,0,J18/(J70*INDEX(CF_REQ,J68)))</f>
        <v/>
      </c>
      <c r="K84" s="44">
        <f>IF(K70=0,0,K18/(K70*INDEX(CF_REQ,K68)))</f>
        <v/>
      </c>
    </row>
    <row r="85" ht="42.5" customHeight="1">
      <c r="A85" s="27" t="inlineStr">
        <is>
          <t>K.75</t>
        </is>
      </c>
      <c r="B85" s="26" t="inlineStr">
        <is>
          <t>Time to create today's partitions</t>
        </is>
      </c>
      <c r="C85" s="27" t="inlineStr">
        <is>
          <t>minutes</t>
        </is>
      </c>
      <c r="D85" s="27" t="inlineStr">
        <is>
          <t>Leader partitions / partition creations allowed per 5 minutes x 5. Matters when topics are created during cutover. Uses today's partitions.</t>
        </is>
      </c>
      <c r="E85" s="27" t="inlineStr">
        <is>
          <t>C1</t>
        </is>
      </c>
      <c r="F85" s="38">
        <f>IF(F68=0,0,F13/INDEX(CF_PARTOPS,F68)*5)</f>
        <v/>
      </c>
      <c r="G85" s="38">
        <f>IF(G68=0,0,G13/INDEX(CF_PARTOPS,G68)*5)</f>
        <v/>
      </c>
      <c r="H85" s="38">
        <f>IF(H68=0,0,H13/INDEX(CF_PARTOPS,H68)*5)</f>
        <v/>
      </c>
      <c r="I85" s="38">
        <f>IF(I68=0,0,I13/INDEX(CF_PARTOPS,I68)*5)</f>
        <v/>
      </c>
      <c r="J85" s="38">
        <f>IF(J68=0,0,J13/INDEX(CF_PARTOPS,J68)*5)</f>
        <v/>
      </c>
      <c r="K85" s="38">
        <f>IF(K68=0,0,K13/INDEX(CF_PARTOPS,K68)*5)</f>
        <v/>
      </c>
    </row>
    <row r="86" ht="16" customHeight="1">
      <c r="A86" s="31" t="inlineStr">
        <is>
          <t>G. Quantities for the Confluent price quote (per month, with the growth allowance)</t>
        </is>
      </c>
      <c r="B86" s="32" t="n"/>
      <c r="C86" s="32" t="n"/>
      <c r="D86" s="32" t="n"/>
      <c r="E86" s="32" t="n"/>
      <c r="F86" s="32" t="n"/>
      <c r="G86" s="32" t="n"/>
      <c r="H86" s="32" t="n"/>
      <c r="I86" s="32" t="n"/>
      <c r="J86" s="32" t="n"/>
      <c r="K86" s="32" t="n"/>
    </row>
    <row r="87" ht="29" customHeight="1">
      <c r="A87" s="27" t="inlineStr">
        <is>
          <t>K.76</t>
        </is>
      </c>
      <c r="B87" s="26" t="inlineStr">
        <is>
          <t>Capacity unit-hours (upper bound)</t>
        </is>
      </c>
      <c r="C87" s="27" t="inlineStr">
        <is>
          <t>unit-hours</t>
        </is>
      </c>
      <c r="D87" s="27" t="inlineStr">
        <is>
          <t>Recommended units x 730 hours. Elastic types are billed on the highest units used in each hour, so the bill can be lower.</t>
        </is>
      </c>
      <c r="E87" s="27" t="inlineStr">
        <is>
          <t>C2, W</t>
        </is>
      </c>
      <c r="F87" s="47">
        <f>F70*W_HOURS</f>
        <v/>
      </c>
      <c r="G87" s="47">
        <f>G70*W_HOURS</f>
        <v/>
      </c>
      <c r="H87" s="47">
        <f>H70*W_HOURS</f>
        <v/>
      </c>
      <c r="I87" s="47">
        <f>I70*W_HOURS</f>
        <v/>
      </c>
      <c r="J87" s="47">
        <f>J70*W_HOURS</f>
        <v/>
      </c>
      <c r="K87" s="47">
        <f>K70*W_HOURS</f>
        <v/>
      </c>
    </row>
    <row r="88" ht="15.5" customHeight="1">
      <c r="A88" s="27" t="inlineStr">
        <is>
          <t>K.77</t>
        </is>
      </c>
      <c r="B88" s="26" t="inlineStr">
        <is>
          <t>Ingress</t>
        </is>
      </c>
      <c r="C88" s="27" t="inlineStr">
        <is>
          <t>GiB per month</t>
        </is>
      </c>
      <c r="D88" s="27" t="inlineStr">
        <is>
          <t>GiB written per day x (1 + growth) x 730 / 24.</t>
        </is>
      </c>
      <c r="E88" s="27" t="inlineStr">
        <is>
          <t>C2, W</t>
        </is>
      </c>
      <c r="F88" s="47">
        <f>F20*(1+F28)*W_HOURS/24</f>
        <v/>
      </c>
      <c r="G88" s="47">
        <f>G20*(1+G28)*W_HOURS/24</f>
        <v/>
      </c>
      <c r="H88" s="47">
        <f>H20*(1+H28)*W_HOURS/24</f>
        <v/>
      </c>
      <c r="I88" s="47">
        <f>I20*(1+I28)*W_HOURS/24</f>
        <v/>
      </c>
      <c r="J88" s="47">
        <f>J20*(1+J28)*W_HOURS/24</f>
        <v/>
      </c>
      <c r="K88" s="47">
        <f>K20*(1+K28)*W_HOURS/24</f>
        <v/>
      </c>
    </row>
    <row r="89" ht="15.5" customHeight="1">
      <c r="A89" s="27" t="inlineStr">
        <is>
          <t>K.78</t>
        </is>
      </c>
      <c r="B89" s="26" t="inlineStr">
        <is>
          <t>Egress</t>
        </is>
      </c>
      <c r="C89" s="27" t="inlineStr">
        <is>
          <t>GiB per month</t>
        </is>
      </c>
      <c r="D89" s="27" t="inlineStr">
        <is>
          <t>GiB read per day x (1 + growth) x 730 / 24.</t>
        </is>
      </c>
      <c r="E89" s="27" t="inlineStr">
        <is>
          <t>C2, W</t>
        </is>
      </c>
      <c r="F89" s="47">
        <f>F21*(1+F28)*W_HOURS/24</f>
        <v/>
      </c>
      <c r="G89" s="47">
        <f>G21*(1+G28)*W_HOURS/24</f>
        <v/>
      </c>
      <c r="H89" s="47">
        <f>H21*(1+H28)*W_HOURS/24</f>
        <v/>
      </c>
      <c r="I89" s="47">
        <f>I21*(1+I28)*W_HOURS/24</f>
        <v/>
      </c>
      <c r="J89" s="47">
        <f>J21*(1+J28)*W_HOURS/24</f>
        <v/>
      </c>
      <c r="K89" s="47">
        <f>K21*(1+K28)*W_HOURS/24</f>
        <v/>
      </c>
    </row>
    <row r="90" ht="15.5" customHeight="1">
      <c r="A90" s="27" t="inlineStr">
        <is>
          <t>K.79</t>
        </is>
      </c>
      <c r="B90" s="26" t="inlineStr">
        <is>
          <t>Average stored data before replication</t>
        </is>
      </c>
      <c r="C90" s="27" t="inlineStr">
        <is>
          <t>GiB</t>
        </is>
      </c>
      <c r="D90" s="27" t="inlineStr">
        <is>
          <t>Stored GiB x (1 + growth).</t>
        </is>
      </c>
      <c r="E90" s="27" t="inlineStr">
        <is>
          <t>C2</t>
        </is>
      </c>
      <c r="F90" s="38">
        <f>F22*(1+F28)</f>
        <v/>
      </c>
      <c r="G90" s="38">
        <f>G22*(1+G28)</f>
        <v/>
      </c>
      <c r="H90" s="38">
        <f>H22*(1+H28)</f>
        <v/>
      </c>
      <c r="I90" s="38">
        <f>I22*(1+I28)</f>
        <v/>
      </c>
      <c r="J90" s="38">
        <f>J22*(1+J28)</f>
        <v/>
      </c>
      <c r="K90" s="38">
        <f>K22*(1+K28)</f>
        <v/>
      </c>
    </row>
    <row r="91" ht="29" customHeight="1">
      <c r="A91" s="27" t="inlineStr">
        <is>
          <t>K.80</t>
        </is>
      </c>
      <c r="B91" s="26" t="inlineStr">
        <is>
          <t>Billed storage after replication</t>
        </is>
      </c>
      <c r="C91" s="27" t="inlineStr">
        <is>
          <t>GiB</t>
        </is>
      </c>
      <c r="D91" s="27" t="inlineStr">
        <is>
          <t>Before-replication figure x 3. Confluent bills storage after replication.</t>
        </is>
      </c>
      <c r="E91" s="27" t="inlineStr">
        <is>
          <t>C2</t>
        </is>
      </c>
      <c r="F91" s="47">
        <f>F90*CF_STORAGE_X</f>
        <v/>
      </c>
      <c r="G91" s="47">
        <f>G90*CF_STORAGE_X</f>
        <v/>
      </c>
      <c r="H91" s="47">
        <f>H90*CF_STORAGE_X</f>
        <v/>
      </c>
      <c r="I91" s="47">
        <f>I90*CF_STORAGE_X</f>
        <v/>
      </c>
      <c r="J91" s="47">
        <f>J90*CF_STORAGE_X</f>
        <v/>
      </c>
      <c r="K91" s="47">
        <f>K90*CF_STORAGE_X</f>
        <v/>
      </c>
    </row>
    <row r="92" ht="15.5" customHeight="1">
      <c r="A92" s="27" t="inlineStr">
        <is>
          <t>K.81</t>
        </is>
      </c>
      <c r="B92" s="26" t="inlineStr">
        <is>
          <t>Storage</t>
        </is>
      </c>
      <c r="C92" s="27" t="inlineStr">
        <is>
          <t>GiB-hours per month</t>
        </is>
      </c>
      <c r="D92" s="27" t="inlineStr">
        <is>
          <t>Billed storage x 730.</t>
        </is>
      </c>
      <c r="E92" s="27" t="inlineStr">
        <is>
          <t>C2, W</t>
        </is>
      </c>
      <c r="F92" s="47">
        <f>F91*W_HOURS</f>
        <v/>
      </c>
      <c r="G92" s="47">
        <f>G91*W_HOURS</f>
        <v/>
      </c>
      <c r="H92" s="47">
        <f>H91*W_HOURS</f>
        <v/>
      </c>
      <c r="I92" s="47">
        <f>I91*W_HOURS</f>
        <v/>
      </c>
      <c r="J92" s="47">
        <f>J91*W_HOURS</f>
        <v/>
      </c>
      <c r="K92" s="47">
        <f>K91*W_HOURS</f>
        <v/>
      </c>
    </row>
    <row r="93" ht="16" customHeight="1">
      <c r="A93" s="31" t="inlineStr">
        <is>
          <t>H. Pega reference sizing for an equivalent self-managed cluster (for comparison only)</t>
        </is>
      </c>
      <c r="B93" s="32" t="n"/>
      <c r="C93" s="32" t="n"/>
      <c r="D93" s="32" t="n"/>
      <c r="E93" s="32" t="n"/>
      <c r="F93" s="32" t="n"/>
      <c r="G93" s="32" t="n"/>
      <c r="H93" s="32" t="n"/>
      <c r="I93" s="32" t="n"/>
      <c r="J93" s="32" t="n"/>
      <c r="K93" s="32" t="n"/>
    </row>
    <row r="94" ht="15.5" customHeight="1">
      <c r="A94" s="27" t="inlineStr">
        <is>
          <t>K.82</t>
        </is>
      </c>
      <c r="B94" s="26" t="inlineStr">
        <is>
          <t>Brokers</t>
        </is>
      </c>
      <c r="C94" s="27" t="inlineStr">
        <is>
          <t>count</t>
        </is>
      </c>
      <c r="D94" s="27" t="inlineStr">
        <is>
          <t>Pega Table 1 instance count.</t>
        </is>
      </c>
      <c r="E94" s="27" t="inlineStr">
        <is>
          <t>P1</t>
        </is>
      </c>
      <c r="F94" s="35">
        <f>IF(F6=0,0,IF(F11="Production",P_KAFKA_PRD_N,P_KAFKA_DEV_N))</f>
        <v/>
      </c>
      <c r="G94" s="35">
        <f>IF(G6=0,0,IF(G11="Production",P_KAFKA_PRD_N,P_KAFKA_DEV_N))</f>
        <v/>
      </c>
      <c r="H94" s="35">
        <f>IF(H6=0,0,IF(H11="Production",P_KAFKA_PRD_N,P_KAFKA_DEV_N))</f>
        <v/>
      </c>
      <c r="I94" s="35">
        <f>IF(I6=0,0,IF(I11="Production",P_KAFKA_PRD_N,P_KAFKA_DEV_N))</f>
        <v/>
      </c>
      <c r="J94" s="35">
        <f>IF(J6=0,0,IF(J11="Production",P_KAFKA_PRD_N,P_KAFKA_DEV_N))</f>
        <v/>
      </c>
      <c r="K94" s="35">
        <f>IF(K6=0,0,IF(K11="Production",P_KAFKA_PRD_N,P_KAFKA_DEV_N))</f>
        <v/>
      </c>
    </row>
    <row r="95" ht="15.5" customHeight="1">
      <c r="A95" s="27" t="inlineStr">
        <is>
          <t>K.83</t>
        </is>
      </c>
      <c r="B95" s="26" t="inlineStr">
        <is>
          <t>CPU per broker from Table 1</t>
        </is>
      </c>
      <c r="C95" s="27" t="inlineStr">
        <is>
          <t>cores</t>
        </is>
      </c>
      <c r="D95" s="27" t="inlineStr"/>
      <c r="E95" s="27" t="inlineStr">
        <is>
          <t>P1</t>
        </is>
      </c>
      <c r="F95" s="35">
        <f>IF(F6=0,0,IF(F11="Production",P_KAFKA_PRD_CPU,P_KAFKA_DEV_CPU))</f>
        <v/>
      </c>
      <c r="G95" s="35">
        <f>IF(G6=0,0,IF(G11="Production",P_KAFKA_PRD_CPU,P_KAFKA_DEV_CPU))</f>
        <v/>
      </c>
      <c r="H95" s="35">
        <f>IF(H6=0,0,IF(H11="Production",P_KAFKA_PRD_CPU,P_KAFKA_DEV_CPU))</f>
        <v/>
      </c>
      <c r="I95" s="35">
        <f>IF(I6=0,0,IF(I11="Production",P_KAFKA_PRD_CPU,P_KAFKA_DEV_CPU))</f>
        <v/>
      </c>
      <c r="J95" s="35">
        <f>IF(J6=0,0,IF(J11="Production",P_KAFKA_PRD_CPU,P_KAFKA_DEV_CPU))</f>
        <v/>
      </c>
      <c r="K95" s="35">
        <f>IF(K6=0,0,IF(K11="Production",P_KAFKA_PRD_CPU,P_KAFKA_DEV_CPU))</f>
        <v/>
      </c>
    </row>
    <row r="96" ht="15.5" customHeight="1">
      <c r="A96" s="27" t="inlineStr">
        <is>
          <t>K.84</t>
        </is>
      </c>
      <c r="B96" s="26" t="inlineStr">
        <is>
          <t>RAM per broker from Table 1</t>
        </is>
      </c>
      <c r="C96" s="27" t="inlineStr">
        <is>
          <t>GB</t>
        </is>
      </c>
      <c r="D96" s="27" t="inlineStr"/>
      <c r="E96" s="27" t="inlineStr">
        <is>
          <t>P1</t>
        </is>
      </c>
      <c r="F96" s="35">
        <f>IF(F6=0,0,IF(F11="Production",P_KAFKA_PRD_RAM,P_KAFKA_DEV_RAM))</f>
        <v/>
      </c>
      <c r="G96" s="35">
        <f>IF(G6=0,0,IF(G11="Production",P_KAFKA_PRD_RAM,P_KAFKA_DEV_RAM))</f>
        <v/>
      </c>
      <c r="H96" s="35">
        <f>IF(H6=0,0,IF(H11="Production",P_KAFKA_PRD_RAM,P_KAFKA_DEV_RAM))</f>
        <v/>
      </c>
      <c r="I96" s="35">
        <f>IF(I6=0,0,IF(I11="Production",P_KAFKA_PRD_RAM,P_KAFKA_DEV_RAM))</f>
        <v/>
      </c>
      <c r="J96" s="35">
        <f>IF(J6=0,0,IF(J11="Production",P_KAFKA_PRD_RAM,P_KAFKA_DEV_RAM))</f>
        <v/>
      </c>
      <c r="K96" s="35">
        <f>IF(K6=0,0,IF(K11="Production",P_KAFKA_PRD_RAM,P_KAFKA_DEV_RAM))</f>
        <v/>
      </c>
    </row>
    <row r="97" ht="15.5" customHeight="1">
      <c r="A97" s="27" t="inlineStr">
        <is>
          <t>K.85</t>
        </is>
      </c>
      <c r="B97" s="26" t="inlineStr">
        <is>
          <t>Storage per broker from Table 1</t>
        </is>
      </c>
      <c r="C97" s="27" t="inlineStr">
        <is>
          <t>GB</t>
        </is>
      </c>
      <c r="D97" s="27" t="inlineStr"/>
      <c r="E97" s="27" t="inlineStr">
        <is>
          <t>P1</t>
        </is>
      </c>
      <c r="F97" s="38">
        <f>IF(F6=0,0,IF(F11="Production",P_KAFKA_PRD_DISK,P_KAFKA_DEV_DISK))</f>
        <v/>
      </c>
      <c r="G97" s="38">
        <f>IF(G6=0,0,IF(G11="Production",P_KAFKA_PRD_DISK,P_KAFKA_DEV_DISK))</f>
        <v/>
      </c>
      <c r="H97" s="38">
        <f>IF(H6=0,0,IF(H11="Production",P_KAFKA_PRD_DISK,P_KAFKA_DEV_DISK))</f>
        <v/>
      </c>
      <c r="I97" s="38">
        <f>IF(I6=0,0,IF(I11="Production",P_KAFKA_PRD_DISK,P_KAFKA_DEV_DISK))</f>
        <v/>
      </c>
      <c r="J97" s="38">
        <f>IF(J6=0,0,IF(J11="Production",P_KAFKA_PRD_DISK,P_KAFKA_DEV_DISK))</f>
        <v/>
      </c>
      <c r="K97" s="38">
        <f>IF(K6=0,0,IF(K11="Production",P_KAFKA_PRD_DISK,P_KAFKA_DEV_DISK))</f>
        <v/>
      </c>
    </row>
    <row r="98" ht="42.5" customHeight="1">
      <c r="A98" s="27" t="inlineStr">
        <is>
          <t>K.86</t>
        </is>
      </c>
      <c r="B98" s="26" t="inlineStr">
        <is>
          <t>Partition replicas per broker</t>
        </is>
      </c>
      <c r="C98" s="27" t="inlineStr">
        <is>
          <t>count</t>
        </is>
      </c>
      <c r="D98" s="27" t="inlineStr">
        <is>
          <t>Planned leader partitions x replication factor 3 / brokers. Pega's Helm chart allows a replication factor of at most 3 and Confluent uses 3.</t>
        </is>
      </c>
      <c r="E98" s="27" t="inlineStr">
        <is>
          <t>P7, C3</t>
        </is>
      </c>
      <c r="F98" s="38">
        <f>IF(F94=0,0,ROUNDUP(F31*CF_RF/F94,0))</f>
        <v/>
      </c>
      <c r="G98" s="38">
        <f>IF(G94=0,0,ROUNDUP(G31*CF_RF/G94,0))</f>
        <v/>
      </c>
      <c r="H98" s="38">
        <f>IF(H94=0,0,ROUNDUP(H31*CF_RF/H94,0))</f>
        <v/>
      </c>
      <c r="I98" s="38">
        <f>IF(I94=0,0,ROUNDUP(I31*CF_RF/I94,0))</f>
        <v/>
      </c>
      <c r="J98" s="38">
        <f>IF(J94=0,0,ROUNDUP(J31*CF_RF/J94,0))</f>
        <v/>
      </c>
      <c r="K98" s="38">
        <f>IF(K94=0,0,ROUNDUP(K31*CF_RF/K94,0))</f>
        <v/>
      </c>
    </row>
    <row r="99" ht="29" customHeight="1">
      <c r="A99" s="27" t="inlineStr">
        <is>
          <t>K.87</t>
        </is>
      </c>
      <c r="B99" s="26" t="inlineStr">
        <is>
          <t>CPU for that partition count</t>
        </is>
      </c>
      <c r="C99" s="27" t="inlineStr">
        <is>
          <t>cores</t>
        </is>
      </c>
      <c r="D99" s="27" t="inlineStr">
        <is>
          <t>Smallest machine in Pega's partitions-per-broker table that supports the count.</t>
        </is>
      </c>
      <c r="E99" s="27" t="inlineStr">
        <is>
          <t>P5</t>
        </is>
      </c>
      <c r="F99" s="35">
        <f>IF(F94=0,0,IF(F98&lt;=INDEX(PM_MAX,1),INDEX(PM_CPU,1),IF(F98&lt;=INDEX(PM_MAX,2),INDEX(PM_CPU,2),IF(F98&lt;=INDEX(PM_MAX,4),INDEX(PM_CPU,4),INDEX(PM_CPU,5)))))</f>
        <v/>
      </c>
      <c r="G99" s="35">
        <f>IF(G94=0,0,IF(G98&lt;=INDEX(PM_MAX,1),INDEX(PM_CPU,1),IF(G98&lt;=INDEX(PM_MAX,2),INDEX(PM_CPU,2),IF(G98&lt;=INDEX(PM_MAX,4),INDEX(PM_CPU,4),INDEX(PM_CPU,5)))))</f>
        <v/>
      </c>
      <c r="H99" s="35">
        <f>IF(H94=0,0,IF(H98&lt;=INDEX(PM_MAX,1),INDEX(PM_CPU,1),IF(H98&lt;=INDEX(PM_MAX,2),INDEX(PM_CPU,2),IF(H98&lt;=INDEX(PM_MAX,4),INDEX(PM_CPU,4),INDEX(PM_CPU,5)))))</f>
        <v/>
      </c>
      <c r="I99" s="35">
        <f>IF(I94=0,0,IF(I98&lt;=INDEX(PM_MAX,1),INDEX(PM_CPU,1),IF(I98&lt;=INDEX(PM_MAX,2),INDEX(PM_CPU,2),IF(I98&lt;=INDEX(PM_MAX,4),INDEX(PM_CPU,4),INDEX(PM_CPU,5)))))</f>
        <v/>
      </c>
      <c r="J99" s="35">
        <f>IF(J94=0,0,IF(J98&lt;=INDEX(PM_MAX,1),INDEX(PM_CPU,1),IF(J98&lt;=INDEX(PM_MAX,2),INDEX(PM_CPU,2),IF(J98&lt;=INDEX(PM_MAX,4),INDEX(PM_CPU,4),INDEX(PM_CPU,5)))))</f>
        <v/>
      </c>
      <c r="K99" s="35">
        <f>IF(K94=0,0,IF(K98&lt;=INDEX(PM_MAX,1),INDEX(PM_CPU,1),IF(K98&lt;=INDEX(PM_MAX,2),INDEX(PM_CPU,2),IF(K98&lt;=INDEX(PM_MAX,4),INDEX(PM_CPU,4),INDEX(PM_CPU,5)))))</f>
        <v/>
      </c>
    </row>
    <row r="100" ht="15.5" customHeight="1">
      <c r="A100" s="27" t="inlineStr">
        <is>
          <t>K.88</t>
        </is>
      </c>
      <c r="B100" s="26" t="inlineStr">
        <is>
          <t>RAM for that partition count</t>
        </is>
      </c>
      <c r="C100" s="27" t="inlineStr">
        <is>
          <t>GiB</t>
        </is>
      </c>
      <c r="D100" s="27" t="inlineStr"/>
      <c r="E100" s="27" t="inlineStr">
        <is>
          <t>P5</t>
        </is>
      </c>
      <c r="F100" s="35">
        <f>IF(F94=0,0,IF(F98&lt;=INDEX(PM_MAX,1),INDEX(PM_RAM,1),IF(F98&lt;=INDEX(PM_MAX,2),INDEX(PM_RAM,2),IF(F98&lt;=INDEX(PM_MAX,4),INDEX(PM_RAM,4),INDEX(PM_RAM,5)))))</f>
        <v/>
      </c>
      <c r="G100" s="35">
        <f>IF(G94=0,0,IF(G98&lt;=INDEX(PM_MAX,1),INDEX(PM_RAM,1),IF(G98&lt;=INDEX(PM_MAX,2),INDEX(PM_RAM,2),IF(G98&lt;=INDEX(PM_MAX,4),INDEX(PM_RAM,4),INDEX(PM_RAM,5)))))</f>
        <v/>
      </c>
      <c r="H100" s="35">
        <f>IF(H94=0,0,IF(H98&lt;=INDEX(PM_MAX,1),INDEX(PM_RAM,1),IF(H98&lt;=INDEX(PM_MAX,2),INDEX(PM_RAM,2),IF(H98&lt;=INDEX(PM_MAX,4),INDEX(PM_RAM,4),INDEX(PM_RAM,5)))))</f>
        <v/>
      </c>
      <c r="I100" s="35">
        <f>IF(I94=0,0,IF(I98&lt;=INDEX(PM_MAX,1),INDEX(PM_RAM,1),IF(I98&lt;=INDEX(PM_MAX,2),INDEX(PM_RAM,2),IF(I98&lt;=INDEX(PM_MAX,4),INDEX(PM_RAM,4),INDEX(PM_RAM,5)))))</f>
        <v/>
      </c>
      <c r="J100" s="35">
        <f>IF(J94=0,0,IF(J98&lt;=INDEX(PM_MAX,1),INDEX(PM_RAM,1),IF(J98&lt;=INDEX(PM_MAX,2),INDEX(PM_RAM,2),IF(J98&lt;=INDEX(PM_MAX,4),INDEX(PM_RAM,4),INDEX(PM_RAM,5)))))</f>
        <v/>
      </c>
      <c r="K100" s="35">
        <f>IF(K94=0,0,IF(K98&lt;=INDEX(PM_MAX,1),INDEX(PM_RAM,1),IF(K98&lt;=INDEX(PM_MAX,2),INDEX(PM_RAM,2),IF(K98&lt;=INDEX(PM_MAX,4),INDEX(PM_RAM,4),INDEX(PM_RAM,5)))))</f>
        <v/>
      </c>
    </row>
    <row r="101" ht="15.5" customHeight="1">
      <c r="A101" s="27" t="inlineStr">
        <is>
          <t>K.89</t>
        </is>
      </c>
      <c r="B101" s="26" t="inlineStr">
        <is>
          <t>Reference CPU per broker</t>
        </is>
      </c>
      <c r="C101" s="27" t="inlineStr">
        <is>
          <t>cores</t>
        </is>
      </c>
      <c r="D101" s="27" t="inlineStr">
        <is>
          <t>Larger of the two CPU figures.</t>
        </is>
      </c>
      <c r="E101" s="27" t="inlineStr">
        <is>
          <t>P1, P5</t>
        </is>
      </c>
      <c r="F101" s="46">
        <f>MAX(F95,F99)</f>
        <v/>
      </c>
      <c r="G101" s="46">
        <f>MAX(G95,G99)</f>
        <v/>
      </c>
      <c r="H101" s="46">
        <f>MAX(H95,H99)</f>
        <v/>
      </c>
      <c r="I101" s="46">
        <f>MAX(I95,I99)</f>
        <v/>
      </c>
      <c r="J101" s="46">
        <f>MAX(J95,J99)</f>
        <v/>
      </c>
      <c r="K101" s="46">
        <f>MAX(K95,K99)</f>
        <v/>
      </c>
    </row>
    <row r="102" ht="15.5" customHeight="1">
      <c r="A102" s="27" t="inlineStr">
        <is>
          <t>K.90</t>
        </is>
      </c>
      <c r="B102" s="26" t="inlineStr">
        <is>
          <t>Reference RAM per broker</t>
        </is>
      </c>
      <c r="C102" s="27" t="inlineStr">
        <is>
          <t>GB</t>
        </is>
      </c>
      <c r="D102" s="27" t="inlineStr">
        <is>
          <t>Larger of the two RAM figures.</t>
        </is>
      </c>
      <c r="E102" s="27" t="inlineStr">
        <is>
          <t>P1, P5</t>
        </is>
      </c>
      <c r="F102" s="46">
        <f>MAX(F96,F100)</f>
        <v/>
      </c>
      <c r="G102" s="46">
        <f>MAX(G96,G100)</f>
        <v/>
      </c>
      <c r="H102" s="46">
        <f>MAX(H96,H100)</f>
        <v/>
      </c>
      <c r="I102" s="46">
        <f>MAX(I96,I100)</f>
        <v/>
      </c>
      <c r="J102" s="46">
        <f>MAX(J96,J100)</f>
        <v/>
      </c>
      <c r="K102" s="46">
        <f>MAX(K96,K100)</f>
        <v/>
      </c>
    </row>
    <row r="103" ht="29" customHeight="1">
      <c r="A103" s="27" t="inlineStr">
        <is>
          <t>K.91</t>
        </is>
      </c>
      <c r="B103" s="26" t="inlineStr">
        <is>
          <t>Storage needed per broker</t>
        </is>
      </c>
      <c r="C103" s="27" t="inlineStr">
        <is>
          <t>GB</t>
        </is>
      </c>
      <c r="D103" s="27" t="inlineStr">
        <is>
          <t>Billed storage after replication / brokers / (1 - 30 %), so that 30 % stays free.</t>
        </is>
      </c>
      <c r="E103" s="27" t="inlineStr">
        <is>
          <t>P5</t>
        </is>
      </c>
      <c r="F103" s="38">
        <f>IF(F94=0,0,F91/F94/(1-P_FREE_DISK))</f>
        <v/>
      </c>
      <c r="G103" s="38">
        <f>IF(G94=0,0,G91/G94/(1-P_FREE_DISK))</f>
        <v/>
      </c>
      <c r="H103" s="38">
        <f>IF(H94=0,0,H91/H94/(1-P_FREE_DISK))</f>
        <v/>
      </c>
      <c r="I103" s="38">
        <f>IF(I94=0,0,I91/I94/(1-P_FREE_DISK))</f>
        <v/>
      </c>
      <c r="J103" s="38">
        <f>IF(J94=0,0,J91/J94/(1-P_FREE_DISK))</f>
        <v/>
      </c>
      <c r="K103" s="38">
        <f>IF(K94=0,0,K91/K94/(1-P_FREE_DISK))</f>
        <v/>
      </c>
    </row>
    <row r="104" ht="15.5" customHeight="1">
      <c r="A104" s="27" t="inlineStr">
        <is>
          <t>K.92</t>
        </is>
      </c>
      <c r="B104" s="26" t="inlineStr">
        <is>
          <t>Reference storage per broker</t>
        </is>
      </c>
      <c r="C104" s="27" t="inlineStr">
        <is>
          <t>GB</t>
        </is>
      </c>
      <c r="D104" s="27" t="inlineStr">
        <is>
          <t>Larger of Table 1 storage and the storage needed.</t>
        </is>
      </c>
      <c r="E104" s="27" t="inlineStr">
        <is>
          <t>P1, P5</t>
        </is>
      </c>
      <c r="F104" s="47">
        <f>MAX(F97,ROUNDUP(F103,0))</f>
        <v/>
      </c>
      <c r="G104" s="47">
        <f>MAX(G97,ROUNDUP(G103,0))</f>
        <v/>
      </c>
      <c r="H104" s="47">
        <f>MAX(H97,ROUNDUP(H103,0))</f>
        <v/>
      </c>
      <c r="I104" s="47">
        <f>MAX(I97,ROUNDUP(I103,0))</f>
        <v/>
      </c>
      <c r="J104" s="47">
        <f>MAX(J97,ROUNDUP(J103,0))</f>
        <v/>
      </c>
      <c r="K104" s="47">
        <f>MAX(K97,ROUNDUP(K103,0))</f>
        <v/>
      </c>
    </row>
    <row r="105" ht="16" customHeight="1">
      <c r="A105" s="31" t="inlineStr">
        <is>
          <t>I. Checks (PASS, INFO, WARN, FAIL)</t>
        </is>
      </c>
      <c r="B105" s="32" t="n"/>
      <c r="C105" s="32" t="n"/>
      <c r="D105" s="32" t="n"/>
      <c r="E105" s="32" t="n"/>
      <c r="F105" s="32" t="n"/>
      <c r="G105" s="32" t="n"/>
      <c r="H105" s="32" t="n"/>
      <c r="I105" s="32" t="n"/>
      <c r="J105" s="32" t="n"/>
      <c r="K105" s="32" t="n"/>
    </row>
    <row r="106" ht="29" customHeight="1">
      <c r="A106" s="27" t="inlineStr">
        <is>
          <t>K.93</t>
        </is>
      </c>
      <c r="B106" s="26" t="inlineStr">
        <is>
          <t>Inputs complete</t>
        </is>
      </c>
      <c r="C106" s="27" t="inlineStr">
        <is>
          <t>status</t>
        </is>
      </c>
      <c r="D106" s="27" t="inlineStr">
        <is>
          <t>Partitions and throughput present; every environment has an input status.</t>
        </is>
      </c>
      <c r="E106" s="27" t="inlineStr">
        <is>
          <t>-</t>
        </is>
      </c>
      <c r="F106" s="25">
        <f>IF(F6=0,"-",IF(F13=0,"FAIL: no partition figure",IF(F15=0,"FAIL: no throughput figure",IF(F24&gt;0,"WARN: input status missing for "&amp;F24&amp;" environment(s)","PASS"))))</f>
        <v/>
      </c>
      <c r="G106" s="25">
        <f>IF(G6=0,"-",IF(G13=0,"FAIL: no partition figure",IF(G15=0,"FAIL: no throughput figure",IF(G24&gt;0,"WARN: input status missing for "&amp;G24&amp;" environment(s)","PASS"))))</f>
        <v/>
      </c>
      <c r="H106" s="25">
        <f>IF(H6=0,"-",IF(H13=0,"FAIL: no partition figure",IF(H15=0,"FAIL: no throughput figure",IF(H24&gt;0,"WARN: input status missing for "&amp;H24&amp;" environment(s)","PASS"))))</f>
        <v/>
      </c>
      <c r="I106" s="25">
        <f>IF(I6=0,"-",IF(I13=0,"FAIL: no partition figure",IF(I15=0,"FAIL: no throughput figure",IF(I24&gt;0,"WARN: input status missing for "&amp;I24&amp;" environment(s)","PASS"))))</f>
        <v/>
      </c>
      <c r="J106" s="25">
        <f>IF(J6=0,"-",IF(J13=0,"FAIL: no partition figure",IF(J15=0,"FAIL: no throughput figure",IF(J24&gt;0,"WARN: input status missing for "&amp;J24&amp;" environment(s)","PASS"))))</f>
        <v/>
      </c>
      <c r="K106" s="25">
        <f>IF(K6=0,"-",IF(K13=0,"FAIL: no partition figure",IF(K15=0,"FAIL: no throughput figure",IF(K24&gt;0,"WARN: input status missing for "&amp;K24&amp;" environment(s)","PASS"))))</f>
        <v/>
      </c>
    </row>
    <row r="107" ht="15.5" customHeight="1">
      <c r="A107" s="27" t="inlineStr">
        <is>
          <t>K.94</t>
        </is>
      </c>
      <c r="B107" s="26" t="inlineStr">
        <is>
          <t>No example values</t>
        </is>
      </c>
      <c r="C107" s="27" t="inlineStr">
        <is>
          <t>status</t>
        </is>
      </c>
      <c r="D107" s="27" t="inlineStr">
        <is>
          <t>Example values must be replaced before asking for a quote.</t>
        </is>
      </c>
      <c r="E107" s="27" t="inlineStr">
        <is>
          <t>-</t>
        </is>
      </c>
      <c r="F107" s="25">
        <f>IF(F6=0,"-",IF(F23&gt;0,"WARN: "&amp;F23&amp;" environment(s) use example values","PASS"))</f>
        <v/>
      </c>
      <c r="G107" s="25">
        <f>IF(G6=0,"-",IF(G23&gt;0,"WARN: "&amp;G23&amp;" environment(s) use example values","PASS"))</f>
        <v/>
      </c>
      <c r="H107" s="25">
        <f>IF(H6=0,"-",IF(H23&gt;0,"WARN: "&amp;H23&amp;" environment(s) use example values","PASS"))</f>
        <v/>
      </c>
      <c r="I107" s="25">
        <f>IF(I6=0,"-",IF(I23&gt;0,"WARN: "&amp;I23&amp;" environment(s) use example values","PASS"))</f>
        <v/>
      </c>
      <c r="J107" s="25">
        <f>IF(J6=0,"-",IF(J23&gt;0,"WARN: "&amp;J23&amp;" environment(s) use example values","PASS"))</f>
        <v/>
      </c>
      <c r="K107" s="25">
        <f>IF(K6=0,"-",IF(K23&gt;0,"WARN: "&amp;K23&amp;" environment(s) use example values","PASS"))</f>
        <v/>
      </c>
    </row>
    <row r="108" ht="15.5" customHeight="1">
      <c r="A108" s="27" t="inlineStr">
        <is>
          <t>K.95</t>
        </is>
      </c>
      <c r="B108" s="26" t="inlineStr">
        <is>
          <t>Connections assessed</t>
        </is>
      </c>
      <c r="C108" s="27" t="inlineStr">
        <is>
          <t>status</t>
        </is>
      </c>
      <c r="D108" s="27" t="inlineStr">
        <is>
          <t>Pega publishes no connection figure, so it must be measured.</t>
        </is>
      </c>
      <c r="E108" s="27" t="inlineStr">
        <is>
          <t>-</t>
        </is>
      </c>
      <c r="F108" s="25">
        <f>IF(F6=0,"-",IF(F25&gt;0,"WARN: not measured for "&amp;F25&amp;" environment(s)","PASS"))</f>
        <v/>
      </c>
      <c r="G108" s="25">
        <f>IF(G6=0,"-",IF(G25&gt;0,"WARN: not measured for "&amp;G25&amp;" environment(s)","PASS"))</f>
        <v/>
      </c>
      <c r="H108" s="25">
        <f>IF(H6=0,"-",IF(H25&gt;0,"WARN: not measured for "&amp;H25&amp;" environment(s)","PASS"))</f>
        <v/>
      </c>
      <c r="I108" s="25">
        <f>IF(I6=0,"-",IF(I25&gt;0,"WARN: not measured for "&amp;I25&amp;" environment(s)","PASS"))</f>
        <v/>
      </c>
      <c r="J108" s="25">
        <f>IF(J6=0,"-",IF(J25&gt;0,"WARN: not measured for "&amp;J25&amp;" environment(s)","PASS"))</f>
        <v/>
      </c>
      <c r="K108" s="25">
        <f>IF(K6=0,"-",IF(K25&gt;0,"WARN: not measured for "&amp;K25&amp;" environment(s)","PASS"))</f>
        <v/>
      </c>
    </row>
    <row r="109" ht="15.5" customHeight="1">
      <c r="A109" s="27" t="inlineStr">
        <is>
          <t>K.96</t>
        </is>
      </c>
      <c r="B109" s="26" t="inlineStr">
        <is>
          <t>Requests assessed</t>
        </is>
      </c>
      <c r="C109" s="27" t="inlineStr">
        <is>
          <t>status</t>
        </is>
      </c>
      <c r="D109" s="27" t="inlineStr">
        <is>
          <t>Pega publishes no request-rate figure, so it must be measured.</t>
        </is>
      </c>
      <c r="E109" s="27" t="inlineStr">
        <is>
          <t>-</t>
        </is>
      </c>
      <c r="F109" s="25">
        <f>IF(F6=0,"-",IF(F26&gt;0,"WARN: not measured for "&amp;F26&amp;" environment(s)","PASS"))</f>
        <v/>
      </c>
      <c r="G109" s="25">
        <f>IF(G6=0,"-",IF(G26&gt;0,"WARN: not measured for "&amp;G26&amp;" environment(s)","PASS"))</f>
        <v/>
      </c>
      <c r="H109" s="25">
        <f>IF(H6=0,"-",IF(H26&gt;0,"WARN: not measured for "&amp;H26&amp;" environment(s)","PASS"))</f>
        <v/>
      </c>
      <c r="I109" s="25">
        <f>IF(I6=0,"-",IF(I26&gt;0,"WARN: not measured for "&amp;I26&amp;" environment(s)","PASS"))</f>
        <v/>
      </c>
      <c r="J109" s="25">
        <f>IF(J6=0,"-",IF(J26&gt;0,"WARN: not measured for "&amp;J26&amp;" environment(s)","PASS"))</f>
        <v/>
      </c>
      <c r="K109" s="25">
        <f>IF(K6=0,"-",IF(K26&gt;0,"WARN: not measured for "&amp;K26&amp;" environment(s)","PASS"))</f>
        <v/>
      </c>
    </row>
    <row r="110" ht="15.5" customHeight="1">
      <c r="A110" s="27" t="inlineStr">
        <is>
          <t>K.97</t>
        </is>
      </c>
      <c r="B110" s="26" t="inlineStr">
        <is>
          <t>SLA selected</t>
        </is>
      </c>
      <c r="C110" s="27" t="inlineStr">
        <is>
          <t>status</t>
        </is>
      </c>
      <c r="D110" s="27" t="inlineStr"/>
      <c r="E110" s="27" t="inlineStr">
        <is>
          <t>C1</t>
        </is>
      </c>
      <c r="F110" s="25">
        <f>IF(F6=0,"-",IF(F38=0,"FAIL: choose the required SLA","PASS"))</f>
        <v/>
      </c>
      <c r="G110" s="25">
        <f>IF(G6=0,"-",IF(G38=0,"FAIL: choose the required SLA","PASS"))</f>
        <v/>
      </c>
      <c r="H110" s="25">
        <f>IF(H6=0,"-",IF(H38=0,"FAIL: choose the required SLA","PASS"))</f>
        <v/>
      </c>
      <c r="I110" s="25">
        <f>IF(I6=0,"-",IF(I38=0,"FAIL: choose the required SLA","PASS"))</f>
        <v/>
      </c>
      <c r="J110" s="25">
        <f>IF(J6=0,"-",IF(J38=0,"FAIL: choose the required SLA","PASS"))</f>
        <v/>
      </c>
      <c r="K110" s="25">
        <f>IF(K6=0,"-",IF(K38=0,"FAIL: choose the required SLA","PASS"))</f>
        <v/>
      </c>
    </row>
    <row r="111" ht="29" customHeight="1">
      <c r="A111" s="27" t="inlineStr">
        <is>
          <t>K.98</t>
        </is>
      </c>
      <c r="B111" s="26" t="inlineStr">
        <is>
          <t>Preferred type meets the requirements</t>
        </is>
      </c>
      <c r="C111" s="27" t="inlineStr">
        <is>
          <t>status</t>
        </is>
      </c>
      <c r="D111" s="27" t="inlineStr">
        <is>
          <t>A forced type must be eligible for the SLA, networking and key requirements.</t>
        </is>
      </c>
      <c r="E111" s="27" t="inlineStr">
        <is>
          <t>C1, C4</t>
        </is>
      </c>
      <c r="F111" s="25">
        <f>IF(F6=0,"-",IF(F42="Auto","INFO: type chosen by the workbook rule",IF(F68=0,"FAIL: unknown type",IF(CHOOSE(F68,F45,F50,F55,F60)="No","FAIL: "&amp;F67&amp;" does not meet the SLA, networking or key requirement","PASS"))))</f>
        <v/>
      </c>
      <c r="G111" s="25">
        <f>IF(G6=0,"-",IF(G42="Auto","INFO: type chosen by the workbook rule",IF(G68=0,"FAIL: unknown type",IF(CHOOSE(G68,G45,G50,G55,G60)="No","FAIL: "&amp;G67&amp;" does not meet the SLA, networking or key requirement","PASS"))))</f>
        <v/>
      </c>
      <c r="H111" s="25">
        <f>IF(H6=0,"-",IF(H42="Auto","INFO: type chosen by the workbook rule",IF(H68=0,"FAIL: unknown type",IF(CHOOSE(H68,H45,H50,H55,H60)="No","FAIL: "&amp;H67&amp;" does not meet the SLA, networking or key requirement","PASS"))))</f>
        <v/>
      </c>
      <c r="I111" s="25">
        <f>IF(I6=0,"-",IF(I42="Auto","INFO: type chosen by the workbook rule",IF(I68=0,"FAIL: unknown type",IF(CHOOSE(I68,I45,I50,I55,I60)="No","FAIL: "&amp;I67&amp;" does not meet the SLA, networking or key requirement","PASS"))))</f>
        <v/>
      </c>
      <c r="J111" s="25">
        <f>IF(J6=0,"-",IF(J42="Auto","INFO: type chosen by the workbook rule",IF(J68=0,"FAIL: unknown type",IF(CHOOSE(J68,J45,J50,J55,J60)="No","FAIL: "&amp;J67&amp;" does not meet the SLA, networking or key requirement","PASS"))))</f>
        <v/>
      </c>
      <c r="K111" s="25">
        <f>IF(K6=0,"-",IF(K42="Auto","INFO: type chosen by the workbook rule",IF(K68=0,"FAIL: unknown type",IF(CHOOSE(K68,K45,K50,K55,K60)="No","FAIL: "&amp;K67&amp;" does not meet the SLA, networking or key requirement","PASS"))))</f>
        <v/>
      </c>
    </row>
    <row r="112" ht="15.5" customHeight="1">
      <c r="A112" s="27" t="inlineStr">
        <is>
          <t>K.99</t>
        </is>
      </c>
      <c r="B112" s="26" t="inlineStr">
        <is>
          <t>Units within the type maximum</t>
        </is>
      </c>
      <c r="C112" s="27" t="inlineStr">
        <is>
          <t>status</t>
        </is>
      </c>
      <c r="D112" s="27" t="inlineStr"/>
      <c r="E112" s="27" t="inlineStr">
        <is>
          <t>C1</t>
        </is>
      </c>
      <c r="F112" s="25">
        <f>IF(F6=0,"-",IF(F70&lt;=F71,"PASS",IF(F67="Dedicated","WARN: above the purchase limit; Azure supports up to "&amp;CF_DED_AZURE&amp;" CKU by request","FAIL: "&amp;F70&amp;" units exceed the "&amp;F71&amp;" maximum for "&amp;F67)))</f>
        <v/>
      </c>
      <c r="G112" s="25">
        <f>IF(G6=0,"-",IF(G70&lt;=G71,"PASS",IF(G67="Dedicated","WARN: above the purchase limit; Azure supports up to "&amp;CF_DED_AZURE&amp;" CKU by request","FAIL: "&amp;G70&amp;" units exceed the "&amp;G71&amp;" maximum for "&amp;G67)))</f>
        <v/>
      </c>
      <c r="H112" s="25">
        <f>IF(H6=0,"-",IF(H70&lt;=H71,"PASS",IF(H67="Dedicated","WARN: above the purchase limit; Azure supports up to "&amp;CF_DED_AZURE&amp;" CKU by request","FAIL: "&amp;H70&amp;" units exceed the "&amp;H71&amp;" maximum for "&amp;H67)))</f>
        <v/>
      </c>
      <c r="I112" s="25">
        <f>IF(I6=0,"-",IF(I70&lt;=I71,"PASS",IF(I67="Dedicated","WARN: above the purchase limit; Azure supports up to "&amp;CF_DED_AZURE&amp;" CKU by request","FAIL: "&amp;I70&amp;" units exceed the "&amp;I71&amp;" maximum for "&amp;I67)))</f>
        <v/>
      </c>
      <c r="J112" s="25">
        <f>IF(J6=0,"-",IF(J70&lt;=J71,"PASS",IF(J67="Dedicated","WARN: above the purchase limit; Azure supports up to "&amp;CF_DED_AZURE&amp;" CKU by request","FAIL: "&amp;J70&amp;" units exceed the "&amp;J71&amp;" maximum for "&amp;J67)))</f>
        <v/>
      </c>
      <c r="K112" s="25">
        <f>IF(K6=0,"-",IF(K70&lt;=K71,"PASS",IF(K67="Dedicated","WARN: above the purchase limit; Azure supports up to "&amp;CF_DED_AZURE&amp;" CKU by request","FAIL: "&amp;K70&amp;" units exceed the "&amp;K71&amp;" maximum for "&amp;K67)))</f>
        <v/>
      </c>
    </row>
    <row r="113" ht="29" customHeight="1">
      <c r="A113" s="27" t="inlineStr">
        <is>
          <t>K.100</t>
        </is>
      </c>
      <c r="B113" s="26" t="inlineStr">
        <is>
          <t>Enterprise scaling</t>
        </is>
      </c>
      <c r="C113" s="27" t="inlineStr">
        <is>
          <t>status</t>
        </is>
      </c>
      <c r="D113" s="27" t="inlineStr">
        <is>
          <t>Enterprise scales fast up to 10 eCKU, then about 20 minutes per eCKU.</t>
        </is>
      </c>
      <c r="E113" s="27" t="inlineStr">
        <is>
          <t>C1</t>
        </is>
      </c>
      <c r="F113" s="25">
        <f>IF(F67&lt;&gt;"Enterprise","-",IF(F70&gt;CF_ENT_FAST,"INFO: above 10 eCKU, scaling is about "&amp;CF_ENT_SCALE_MIN&amp;" minutes per eCKU","PASS"))</f>
        <v/>
      </c>
      <c r="G113" s="25">
        <f>IF(G67&lt;&gt;"Enterprise","-",IF(G70&gt;CF_ENT_FAST,"INFO: above 10 eCKU, scaling is about "&amp;CF_ENT_SCALE_MIN&amp;" minutes per eCKU","PASS"))</f>
        <v/>
      </c>
      <c r="H113" s="25">
        <f>IF(H67&lt;&gt;"Enterprise","-",IF(H70&gt;CF_ENT_FAST,"INFO: above 10 eCKU, scaling is about "&amp;CF_ENT_SCALE_MIN&amp;" minutes per eCKU","PASS"))</f>
        <v/>
      </c>
      <c r="I113" s="25">
        <f>IF(I67&lt;&gt;"Enterprise","-",IF(I70&gt;CF_ENT_FAST,"INFO: above 10 eCKU, scaling is about "&amp;CF_ENT_SCALE_MIN&amp;" minutes per eCKU","PASS"))</f>
        <v/>
      </c>
      <c r="J113" s="25">
        <f>IF(J67&lt;&gt;"Enterprise","-",IF(J70&gt;CF_ENT_FAST,"INFO: above 10 eCKU, scaling is about "&amp;CF_ENT_SCALE_MIN&amp;" minutes per eCKU","PASS"))</f>
        <v/>
      </c>
      <c r="K113" s="25">
        <f>IF(K67&lt;&gt;"Enterprise","-",IF(K70&gt;CF_ENT_FAST,"INFO: above 10 eCKU, scaling is about "&amp;CF_ENT_SCALE_MIN&amp;" minutes per eCKU","PASS"))</f>
        <v/>
      </c>
    </row>
    <row r="114" ht="29" customHeight="1">
      <c r="A114" s="27" t="inlineStr">
        <is>
          <t>K.101</t>
        </is>
      </c>
      <c r="B114" s="26" t="inlineStr">
        <is>
          <t>Largest message within Pega's default</t>
        </is>
      </c>
      <c r="C114" s="27" t="inlineStr">
        <is>
          <t>status</t>
        </is>
      </c>
      <c r="D114" s="27" t="inlineStr">
        <is>
          <t>Above 5,000,000 bytes needs producer JVM arguments in the Pega Helm chart [P1].</t>
        </is>
      </c>
      <c r="E114" s="27" t="inlineStr">
        <is>
          <t>P1</t>
        </is>
      </c>
      <c r="F114" s="25">
        <f>IF(F6=0,"-",IF(F19=0,"WARN: largest message not given",IF(F19&gt;P_MSG_MAX,"WARN: above 5,000,000 bytes; set -Dstream.producer.max.request.size","PASS")))</f>
        <v/>
      </c>
      <c r="G114" s="25">
        <f>IF(G6=0,"-",IF(G19=0,"WARN: largest message not given",IF(G19&gt;P_MSG_MAX,"WARN: above 5,000,000 bytes; set -Dstream.producer.max.request.size","PASS")))</f>
        <v/>
      </c>
      <c r="H114" s="25">
        <f>IF(H6=0,"-",IF(H19=0,"WARN: largest message not given",IF(H19&gt;P_MSG_MAX,"WARN: above 5,000,000 bytes; set -Dstream.producer.max.request.size","PASS")))</f>
        <v/>
      </c>
      <c r="I114" s="25">
        <f>IF(I6=0,"-",IF(I19=0,"WARN: largest message not given",IF(I19&gt;P_MSG_MAX,"WARN: above 5,000,000 bytes; set -Dstream.producer.max.request.size","PASS")))</f>
        <v/>
      </c>
      <c r="J114" s="25">
        <f>IF(J6=0,"-",IF(J19=0,"WARN: largest message not given",IF(J19&gt;P_MSG_MAX,"WARN: above 5,000,000 bytes; set -Dstream.producer.max.request.size","PASS")))</f>
        <v/>
      </c>
      <c r="K114" s="25">
        <f>IF(K6=0,"-",IF(K19=0,"WARN: largest message not given",IF(K19&gt;P_MSG_MAX,"WARN: above 5,000,000 bytes; set -Dstream.producer.max.request.size","PASS")))</f>
        <v/>
      </c>
    </row>
    <row r="115" ht="42.5" customHeight="1">
      <c r="A115" s="27" t="inlineStr">
        <is>
          <t>K.102</t>
        </is>
      </c>
      <c r="B115" s="26" t="inlineStr">
        <is>
          <t>Topic message size setting</t>
        </is>
      </c>
      <c r="C115" s="27" t="inlineStr">
        <is>
          <t>status</t>
        </is>
      </c>
      <c r="D115" s="27" t="inlineStr">
        <is>
          <t>Pega needs 5,000,000-byte messages; the Confluent topic default is 2,097,164 bytes, so max.message.bytes must be raised on Pega topics.</t>
        </is>
      </c>
      <c r="E115" s="27" t="inlineStr">
        <is>
          <t>P1, C3</t>
        </is>
      </c>
      <c r="F115" s="25">
        <f>IF(OR(F6=0,F68=0),"-",IF(MAX(F19,P_MSG_MAX)&gt;INDEX(CF_MSGMAX,F68),"FAIL: larger than the "&amp;F67&amp;" topic maximum","INFO: set topic max.message.bytes to at least "&amp;TEXT(MAX(F19,P_MSG_MAX),"#,##0")))</f>
        <v/>
      </c>
      <c r="G115" s="25">
        <f>IF(OR(G6=0,G68=0),"-",IF(MAX(G19,P_MSG_MAX)&gt;INDEX(CF_MSGMAX,G68),"FAIL: larger than the "&amp;G67&amp;" topic maximum","INFO: set topic max.message.bytes to at least "&amp;TEXT(MAX(G19,P_MSG_MAX),"#,##0")))</f>
        <v/>
      </c>
      <c r="H115" s="25">
        <f>IF(OR(H6=0,H68=0),"-",IF(MAX(H19,P_MSG_MAX)&gt;INDEX(CF_MSGMAX,H68),"FAIL: larger than the "&amp;H67&amp;" topic maximum","INFO: set topic max.message.bytes to at least "&amp;TEXT(MAX(H19,P_MSG_MAX),"#,##0")))</f>
        <v/>
      </c>
      <c r="I115" s="25">
        <f>IF(OR(I6=0,I68=0),"-",IF(MAX(I19,P_MSG_MAX)&gt;INDEX(CF_MSGMAX,I68),"FAIL: larger than the "&amp;I67&amp;" topic maximum","INFO: set topic max.message.bytes to at least "&amp;TEXT(MAX(I19,P_MSG_MAX),"#,##0")))</f>
        <v/>
      </c>
      <c r="J115" s="25">
        <f>IF(OR(J6=0,J68=0),"-",IF(MAX(J19,P_MSG_MAX)&gt;INDEX(CF_MSGMAX,J68),"FAIL: larger than the "&amp;J67&amp;" topic maximum","INFO: set topic max.message.bytes to at least "&amp;TEXT(MAX(J19,P_MSG_MAX),"#,##0")))</f>
        <v/>
      </c>
      <c r="K115" s="25">
        <f>IF(OR(K6=0,K68=0),"-",IF(MAX(K19,P_MSG_MAX)&gt;INDEX(CF_MSGMAX,K68),"FAIL: larger than the "&amp;K67&amp;" topic maximum","INFO: set topic max.message.bytes to at least "&amp;TEXT(MAX(K19,P_MSG_MAX),"#,##0")))</f>
        <v/>
      </c>
    </row>
    <row r="116" ht="29" customHeight="1">
      <c r="A116" s="27" t="inlineStr">
        <is>
          <t>K.103</t>
        </is>
      </c>
      <c r="B116" s="26" t="inlineStr">
        <is>
          <t>Partitions against Pega's Table 1 statement</t>
        </is>
      </c>
      <c r="C116" s="27" t="inlineStr">
        <is>
          <t>status</t>
        </is>
      </c>
      <c r="D116" s="27" t="inlineStr">
        <is>
          <t>Pega's Table 1 sizing easily supports up to 1,000 partitions; above that Pega says to increase resources.</t>
        </is>
      </c>
      <c r="E116" s="27" t="inlineStr">
        <is>
          <t>P1</t>
        </is>
      </c>
      <c r="F116" s="25">
        <f>IF(F6=0,"-",IF(F31&gt;P_KAFKA_PARTS,"INFO: "&amp;TEXT(F31,"#,##0")&amp;" planned partitions, above the 1,000 of Pega's Table 1 sizing","PASS"))</f>
        <v/>
      </c>
      <c r="G116" s="25">
        <f>IF(G6=0,"-",IF(G31&gt;P_KAFKA_PARTS,"INFO: "&amp;TEXT(G31,"#,##0")&amp;" planned partitions, above the 1,000 of Pega's Table 1 sizing","PASS"))</f>
        <v/>
      </c>
      <c r="H116" s="25">
        <f>IF(H6=0,"-",IF(H31&gt;P_KAFKA_PARTS,"INFO: "&amp;TEXT(H31,"#,##0")&amp;" planned partitions, above the 1,000 of Pega's Table 1 sizing","PASS"))</f>
        <v/>
      </c>
      <c r="I116" s="25">
        <f>IF(I6=0,"-",IF(I31&gt;P_KAFKA_PARTS,"INFO: "&amp;TEXT(I31,"#,##0")&amp;" planned partitions, above the 1,000 of Pega's Table 1 sizing","PASS"))</f>
        <v/>
      </c>
      <c r="J116" s="25">
        <f>IF(J6=0,"-",IF(J31&gt;P_KAFKA_PARTS,"INFO: "&amp;TEXT(J31,"#,##0")&amp;" planned partitions, above the 1,000 of Pega's Table 1 sizing","PASS"))</f>
        <v/>
      </c>
      <c r="K116" s="25">
        <f>IF(K6=0,"-",IF(K31&gt;P_KAFKA_PARTS,"INFO: "&amp;TEXT(K31,"#,##0")&amp;" planned partitions, above the 1,000 of Pega's Table 1 sizing","PASS"))</f>
        <v/>
      </c>
    </row>
    <row r="117" ht="29" customHeight="1">
      <c r="A117" s="27" t="inlineStr">
        <is>
          <t>K.104</t>
        </is>
      </c>
      <c r="B117" s="26" t="inlineStr">
        <is>
          <t>Partitions per broker within Pega's table</t>
        </is>
      </c>
      <c r="C117" s="27" t="inlineStr">
        <is>
          <t>status</t>
        </is>
      </c>
      <c r="D117" s="27" t="inlineStr">
        <is>
          <t>Self-managed reference only.</t>
        </is>
      </c>
      <c r="E117" s="27" t="inlineStr">
        <is>
          <t>P5</t>
        </is>
      </c>
      <c r="F117" s="25">
        <f>IF(F6=0,"-",IF(F98&gt;INDEX(PM_MAX,5),"WARN: "&amp;TEXT(F98,"#,##0")&amp;" per broker is beyond Pega's table (4,000)","PASS"))</f>
        <v/>
      </c>
      <c r="G117" s="25">
        <f>IF(G6=0,"-",IF(G98&gt;INDEX(PM_MAX,5),"WARN: "&amp;TEXT(G98,"#,##0")&amp;" per broker is beyond Pega's table (4,000)","PASS"))</f>
        <v/>
      </c>
      <c r="H117" s="25">
        <f>IF(H6=0,"-",IF(H98&gt;INDEX(PM_MAX,5),"WARN: "&amp;TEXT(H98,"#,##0")&amp;" per broker is beyond Pega's table (4,000)","PASS"))</f>
        <v/>
      </c>
      <c r="I117" s="25">
        <f>IF(I6=0,"-",IF(I98&gt;INDEX(PM_MAX,5),"WARN: "&amp;TEXT(I98,"#,##0")&amp;" per broker is beyond Pega's table (4,000)","PASS"))</f>
        <v/>
      </c>
      <c r="J117" s="25">
        <f>IF(J6=0,"-",IF(J98&gt;INDEX(PM_MAX,5),"WARN: "&amp;TEXT(J98,"#,##0")&amp;" per broker is beyond Pega's table (4,000)","PASS"))</f>
        <v/>
      </c>
      <c r="K117" s="25">
        <f>IF(K6=0,"-",IF(K98&gt;INDEX(PM_MAX,5),"WARN: "&amp;TEXT(K98,"#,##0")&amp;" per broker is beyond Pega's table (4,000)","PASS"))</f>
        <v/>
      </c>
    </row>
    <row r="118" ht="15.5" customHeight="1">
      <c r="A118" s="27" t="inlineStr">
        <is>
          <t>K.105</t>
        </is>
      </c>
      <c r="B118" s="26" t="inlineStr">
        <is>
          <t>Self-managed keys coverage</t>
        </is>
      </c>
      <c r="C118" s="27" t="inlineStr">
        <is>
          <t>status</t>
        </is>
      </c>
      <c r="D118" s="27" t="inlineStr"/>
      <c r="E118" s="27" t="inlineStr">
        <is>
          <t>C4</t>
        </is>
      </c>
      <c r="F118" s="25">
        <f>IF(OR(F6=0,F40&lt;&gt;"Yes"),"-",IF(F67="Enterprise","INFO: Enterprise temporary storage uses Confluent-owned keys",IF(F67="Dedicated","PASS","FAIL: not available on "&amp;F67)))</f>
        <v/>
      </c>
      <c r="G118" s="25">
        <f>IF(OR(G6=0,G40&lt;&gt;"Yes"),"-",IF(G67="Enterprise","INFO: Enterprise temporary storage uses Confluent-owned keys",IF(G67="Dedicated","PASS","FAIL: not available on "&amp;G67)))</f>
        <v/>
      </c>
      <c r="H118" s="25">
        <f>IF(OR(H6=0,H40&lt;&gt;"Yes"),"-",IF(H67="Enterprise","INFO: Enterprise temporary storage uses Confluent-owned keys",IF(H67="Dedicated","PASS","FAIL: not available on "&amp;H67)))</f>
        <v/>
      </c>
      <c r="I118" s="25">
        <f>IF(OR(I6=0,I40&lt;&gt;"Yes"),"-",IF(I67="Enterprise","INFO: Enterprise temporary storage uses Confluent-owned keys",IF(I67="Dedicated","PASS","FAIL: not available on "&amp;I67)))</f>
        <v/>
      </c>
      <c r="J118" s="25">
        <f>IF(OR(J6=0,J40&lt;&gt;"Yes"),"-",IF(J67="Enterprise","INFO: Enterprise temporary storage uses Confluent-owned keys",IF(J67="Dedicated","PASS","FAIL: not available on "&amp;J67)))</f>
        <v/>
      </c>
      <c r="K118" s="25">
        <f>IF(OR(K6=0,K40&lt;&gt;"Yes"),"-",IF(K67="Enterprise","INFO: Enterprise temporary storage uses Confluent-owned keys",IF(K67="Dedicated","PASS","FAIL: not available on "&amp;K67)))</f>
        <v/>
      </c>
    </row>
    <row r="119" ht="15.5" customHeight="1">
      <c r="A119" s="27" t="inlineStr">
        <is>
          <t>K.106</t>
        </is>
      </c>
      <c r="B119" s="26" t="inlineStr">
        <is>
          <t>Growth allowance entered</t>
        </is>
      </c>
      <c r="C119" s="27" t="inlineStr">
        <is>
          <t>status</t>
        </is>
      </c>
      <c r="D119" s="27" t="inlineStr"/>
      <c r="E119" s="27" t="inlineStr">
        <is>
          <t>W</t>
        </is>
      </c>
      <c r="F119" s="25">
        <f>IF(F6=0,"-",IF(F28=0,"INFO: no growth allowance","PASS"))</f>
        <v/>
      </c>
      <c r="G119" s="25">
        <f>IF(G6=0,"-",IF(G28=0,"INFO: no growth allowance","PASS"))</f>
        <v/>
      </c>
      <c r="H119" s="25">
        <f>IF(H6=0,"-",IF(H28=0,"INFO: no growth allowance","PASS"))</f>
        <v/>
      </c>
      <c r="I119" s="25">
        <f>IF(I6=0,"-",IF(I28=0,"INFO: no growth allowance","PASS"))</f>
        <v/>
      </c>
      <c r="J119" s="25">
        <f>IF(J6=0,"-",IF(J28=0,"INFO: no growth allowance","PASS"))</f>
        <v/>
      </c>
      <c r="K119" s="25">
        <f>IF(K6=0,"-",IF(K28=0,"INFO: no growth allowance","PASS"))</f>
        <v/>
      </c>
    </row>
    <row r="120" ht="15.5" customHeight="1">
      <c r="A120" s="27" t="inlineStr">
        <is>
          <t>K.107</t>
        </is>
      </c>
      <c r="B120" s="26" t="inlineStr">
        <is>
          <t>Production isolation</t>
        </is>
      </c>
      <c r="C120" s="27" t="inlineStr">
        <is>
          <t>status</t>
        </is>
      </c>
      <c r="D120" s="27" t="inlineStr"/>
      <c r="E120" s="27" t="inlineStr">
        <is>
          <t>-</t>
        </is>
      </c>
      <c r="F120" s="25">
        <f>IF(F6=0,"-",IF(AND(F9=4,F6&gt;1),"INFO: Production shares this cluster with other environments; confirm this is intended","PASS"))</f>
        <v/>
      </c>
      <c r="G120" s="25">
        <f>IF(G6=0,"-",IF(AND(G9=4,G6&gt;1),"INFO: Production shares this cluster with other environments; confirm this is intended","PASS"))</f>
        <v/>
      </c>
      <c r="H120" s="25">
        <f>IF(H6=0,"-",IF(AND(H9=4,H6&gt;1),"INFO: Production shares this cluster with other environments; confirm this is intended","PASS"))</f>
        <v/>
      </c>
      <c r="I120" s="25">
        <f>IF(I6=0,"-",IF(AND(I9=4,I6&gt;1),"INFO: Production shares this cluster with other environments; confirm this is intended","PASS"))</f>
        <v/>
      </c>
      <c r="J120" s="25">
        <f>IF(J6=0,"-",IF(AND(J9=4,J6&gt;1),"INFO: Production shares this cluster with other environments; confirm this is intended","PASS"))</f>
        <v/>
      </c>
      <c r="K120" s="25">
        <f>IF(K6=0,"-",IF(AND(K9=4,K6&gt;1),"INFO: Production shares this cluster with other environments; confirm this is intended","PASS"))</f>
        <v/>
      </c>
    </row>
    <row r="122" ht="16" customHeight="1">
      <c r="A122" s="31" t="inlineStr">
        <is>
          <t>J. Why this size: plain-English explanation per cluster</t>
        </is>
      </c>
      <c r="B122" s="32" t="n"/>
      <c r="C122" s="32" t="n"/>
      <c r="D122" s="32" t="n"/>
      <c r="E122" s="32" t="n"/>
      <c r="F122" s="32" t="n"/>
      <c r="G122" s="32" t="n"/>
      <c r="H122" s="32" t="n"/>
      <c r="I122" s="32" t="n"/>
      <c r="J122" s="32" t="n"/>
      <c r="K122" s="32" t="n"/>
    </row>
    <row r="123" ht="80" customHeight="1">
      <c r="B123" s="48" t="inlineStr">
        <is>
          <t>K1</t>
        </is>
      </c>
      <c r="C123" s="49">
        <f>IF(F6=0,"K1 is not used.",F8&amp;" ("&amp;F7&amp;"): "&amp;F67&amp;" with "&amp;F70&amp;" "&amp;F69&amp;". "&amp;IF(F42&lt;&gt;"Auto","The customer selected "&amp;F67&amp;". ",IF(F67="Basic","Basic is enough for a 99.5% SLA on public networking [C1]. ",IF(F67="Standard","Standard meets the SLA on public networking without self-managed keys [C1]. ",IF(F67="Enterprise",IF(F39="Yes","Private networking is required, which Confluent positions on Enterprise [C1]. ",IF(F40="Yes","Self-managed keys on Azure need Enterprise or Dedicated [C4]. ","The load is above Standard's 10-eCKU maximum [C1]. ")),"The elastic types cannot hold the planned load within their maximum units [C1]. "))))&amp;"The size is set by "&amp;IF(F79="Partitions",TEXT(F31,"#,##0")&amp;" planned leader partitions against "&amp;TEXT(INDEX(CF_PART,F68),"#,##0")&amp;" per unit",IF(F79="Ingress",TEXT(F33,"0.0")&amp;" MBps planned ingress against "&amp;TEXT(INDEX(CF_IN,F68),"#,##0")&amp;" MBps per unit",IF(F79="Egress",TEXT(F34,"0.0")&amp;" MBps planned egress against "&amp;TEXT(INDEX(CF_OUT,F68),"#,##0")&amp;" MBps per unit",IF(F79="Compacted partitions",TEXT(F32,"#,##0")&amp;" planned compacted partitions against "&amp;TEXT(INDEX(CF_COMPACT,F68),"#,##0")&amp;" per unit",IF(F79="Client connections",TEXT(F35,"#,##0")&amp;" planned connections against "&amp;TEXT(INDEX(CF_CONN,F68),"#,##0")&amp;" per unit",IF(F79="Requests",TEXT(F36,"#,##0")&amp;" planned requests per second against "&amp;TEXT(INDEX(CF_REQ,F68),"#,##0")&amp;" per unit","the minimum units Confluent requires for a "&amp;TEXT(F38*100,"0.0#")&amp;"% SLA"))))))&amp;" [C1]. Planned figures add "&amp;TEXT(F28,"0%")&amp;" growth and keep planned use at or below "&amp;TEXT(F29,"0%")&amp;" of capacity; the workbook applies Pega's 70% CPU action point to every dimension [P5][W]. Monthly quantities for pricing: "&amp;TEXT(F88,"#,##0")&amp;" GiB in, "&amp;TEXT(F89,"#,##0")&amp;" GiB out and "&amp;TEXT(F91,"#,##0")&amp;" GiB billed storage after replication [C2]. For comparison, Pega's reference for a self-managed cluster is "&amp;F94&amp;" brokers of "&amp;F101&amp;" CPU, "&amp;F102&amp;" GB RAM and "&amp;TEXT(F104,"#,##0")&amp;" GB storage [P1][P5].")</f>
        <v/>
      </c>
    </row>
    <row r="124" ht="80" customHeight="1">
      <c r="B124" s="48" t="inlineStr">
        <is>
          <t>K2</t>
        </is>
      </c>
      <c r="C124" s="49">
        <f>IF(G6=0,"K2 is not used.",G8&amp;" ("&amp;G7&amp;"): "&amp;G67&amp;" with "&amp;G70&amp;" "&amp;G69&amp;". "&amp;IF(G42&lt;&gt;"Auto","The customer selected "&amp;G67&amp;". ",IF(G67="Basic","Basic is enough for a 99.5% SLA on public networking [C1]. ",IF(G67="Standard","Standard meets the SLA on public networking without self-managed keys [C1]. ",IF(G67="Enterprise",IF(G39="Yes","Private networking is required, which Confluent positions on Enterprise [C1]. ",IF(G40="Yes","Self-managed keys on Azure need Enterprise or Dedicated [C4]. ","The load is above Standard's 10-eCKU maximum [C1]. ")),"The elastic types cannot hold the planned load within their maximum units [C1]. "))))&amp;"The size is set by "&amp;IF(G79="Partitions",TEXT(G31,"#,##0")&amp;" planned leader partitions against "&amp;TEXT(INDEX(CF_PART,G68),"#,##0")&amp;" per unit",IF(G79="Ingress",TEXT(G33,"0.0")&amp;" MBps planned ingress against "&amp;TEXT(INDEX(CF_IN,G68),"#,##0")&amp;" MBps per unit",IF(G79="Egress",TEXT(G34,"0.0")&amp;" MBps planned egress against "&amp;TEXT(INDEX(CF_OUT,G68),"#,##0")&amp;" MBps per unit",IF(G79="Compacted partitions",TEXT(G32,"#,##0")&amp;" planned compacted partitions against "&amp;TEXT(INDEX(CF_COMPACT,G68),"#,##0")&amp;" per unit",IF(G79="Client connections",TEXT(G35,"#,##0")&amp;" planned connections against "&amp;TEXT(INDEX(CF_CONN,G68),"#,##0")&amp;" per unit",IF(G79="Requests",TEXT(G36,"#,##0")&amp;" planned requests per second against "&amp;TEXT(INDEX(CF_REQ,G68),"#,##0")&amp;" per unit","the minimum units Confluent requires for a "&amp;TEXT(G38*100,"0.0#")&amp;"% SLA"))))))&amp;" [C1]. Planned figures add "&amp;TEXT(G28,"0%")&amp;" growth and keep planned use at or below "&amp;TEXT(G29,"0%")&amp;" of capacity; the workbook applies Pega's 70% CPU action point to every dimension [P5][W]. Monthly quantities for pricing: "&amp;TEXT(G88,"#,##0")&amp;" GiB in, "&amp;TEXT(G89,"#,##0")&amp;" GiB out and "&amp;TEXT(G91,"#,##0")&amp;" GiB billed storage after replication [C2]. For comparison, Pega's reference for a self-managed cluster is "&amp;G94&amp;" brokers of "&amp;G101&amp;" CPU, "&amp;G102&amp;" GB RAM and "&amp;TEXT(G104,"#,##0")&amp;" GB storage [P1][P5].")</f>
        <v/>
      </c>
    </row>
    <row r="125" ht="80" customHeight="1">
      <c r="B125" s="48" t="inlineStr">
        <is>
          <t>K3</t>
        </is>
      </c>
      <c r="C125" s="49">
        <f>IF(H6=0,"K3 is not used.",H8&amp;" ("&amp;H7&amp;"): "&amp;H67&amp;" with "&amp;H70&amp;" "&amp;H69&amp;". "&amp;IF(H42&lt;&gt;"Auto","The customer selected "&amp;H67&amp;". ",IF(H67="Basic","Basic is enough for a 99.5% SLA on public networking [C1]. ",IF(H67="Standard","Standard meets the SLA on public networking without self-managed keys [C1]. ",IF(H67="Enterprise",IF(H39="Yes","Private networking is required, which Confluent positions on Enterprise [C1]. ",IF(H40="Yes","Self-managed keys on Azure need Enterprise or Dedicated [C4]. ","The load is above Standard's 10-eCKU maximum [C1]. ")),"The elastic types cannot hold the planned load within their maximum units [C1]. "))))&amp;"The size is set by "&amp;IF(H79="Partitions",TEXT(H31,"#,##0")&amp;" planned leader partitions against "&amp;TEXT(INDEX(CF_PART,H68),"#,##0")&amp;" per unit",IF(H79="Ingress",TEXT(H33,"0.0")&amp;" MBps planned ingress against "&amp;TEXT(INDEX(CF_IN,H68),"#,##0")&amp;" MBps per unit",IF(H79="Egress",TEXT(H34,"0.0")&amp;" MBps planned egress against "&amp;TEXT(INDEX(CF_OUT,H68),"#,##0")&amp;" MBps per unit",IF(H79="Compacted partitions",TEXT(H32,"#,##0")&amp;" planned compacted partitions against "&amp;TEXT(INDEX(CF_COMPACT,H68),"#,##0")&amp;" per unit",IF(H79="Client connections",TEXT(H35,"#,##0")&amp;" planned connections against "&amp;TEXT(INDEX(CF_CONN,H68),"#,##0")&amp;" per unit",IF(H79="Requests",TEXT(H36,"#,##0")&amp;" planned requests per second against "&amp;TEXT(INDEX(CF_REQ,H68),"#,##0")&amp;" per unit","the minimum units Confluent requires for a "&amp;TEXT(H38*100,"0.0#")&amp;"% SLA"))))))&amp;" [C1]. Planned figures add "&amp;TEXT(H28,"0%")&amp;" growth and keep planned use at or below "&amp;TEXT(H29,"0%")&amp;" of capacity; the workbook applies Pega's 70% CPU action point to every dimension [P5][W]. Monthly quantities for pricing: "&amp;TEXT(H88,"#,##0")&amp;" GiB in, "&amp;TEXT(H89,"#,##0")&amp;" GiB out and "&amp;TEXT(H91,"#,##0")&amp;" GiB billed storage after replication [C2]. For comparison, Pega's reference for a self-managed cluster is "&amp;H94&amp;" brokers of "&amp;H101&amp;" CPU, "&amp;H102&amp;" GB RAM and "&amp;TEXT(H104,"#,##0")&amp;" GB storage [P1][P5].")</f>
        <v/>
      </c>
    </row>
    <row r="126" ht="80" customHeight="1">
      <c r="B126" s="48" t="inlineStr">
        <is>
          <t>K4</t>
        </is>
      </c>
      <c r="C126" s="49">
        <f>IF(I6=0,"K4 is not used.",I8&amp;" ("&amp;I7&amp;"): "&amp;I67&amp;" with "&amp;I70&amp;" "&amp;I69&amp;". "&amp;IF(I42&lt;&gt;"Auto","The customer selected "&amp;I67&amp;". ",IF(I67="Basic","Basic is enough for a 99.5% SLA on public networking [C1]. ",IF(I67="Standard","Standard meets the SLA on public networking without self-managed keys [C1]. ",IF(I67="Enterprise",IF(I39="Yes","Private networking is required, which Confluent positions on Enterprise [C1]. ",IF(I40="Yes","Self-managed keys on Azure need Enterprise or Dedicated [C4]. ","The load is above Standard's 10-eCKU maximum [C1]. ")),"The elastic types cannot hold the planned load within their maximum units [C1]. "))))&amp;"The size is set by "&amp;IF(I79="Partitions",TEXT(I31,"#,##0")&amp;" planned leader partitions against "&amp;TEXT(INDEX(CF_PART,I68),"#,##0")&amp;" per unit",IF(I79="Ingress",TEXT(I33,"0.0")&amp;" MBps planned ingress against "&amp;TEXT(INDEX(CF_IN,I68),"#,##0")&amp;" MBps per unit",IF(I79="Egress",TEXT(I34,"0.0")&amp;" MBps planned egress against "&amp;TEXT(INDEX(CF_OUT,I68),"#,##0")&amp;" MBps per unit",IF(I79="Compacted partitions",TEXT(I32,"#,##0")&amp;" planned compacted partitions against "&amp;TEXT(INDEX(CF_COMPACT,I68),"#,##0")&amp;" per unit",IF(I79="Client connections",TEXT(I35,"#,##0")&amp;" planned connections against "&amp;TEXT(INDEX(CF_CONN,I68),"#,##0")&amp;" per unit",IF(I79="Requests",TEXT(I36,"#,##0")&amp;" planned requests per second against "&amp;TEXT(INDEX(CF_REQ,I68),"#,##0")&amp;" per unit","the minimum units Confluent requires for a "&amp;TEXT(I38*100,"0.0#")&amp;"% SLA"))))))&amp;" [C1]. Planned figures add "&amp;TEXT(I28,"0%")&amp;" growth and keep planned use at or below "&amp;TEXT(I29,"0%")&amp;" of capacity; the workbook applies Pega's 70% CPU action point to every dimension [P5][W]. Monthly quantities for pricing: "&amp;TEXT(I88,"#,##0")&amp;" GiB in, "&amp;TEXT(I89,"#,##0")&amp;" GiB out and "&amp;TEXT(I91,"#,##0")&amp;" GiB billed storage after replication [C2]. For comparison, Pega's reference for a self-managed cluster is "&amp;I94&amp;" brokers of "&amp;I101&amp;" CPU, "&amp;I102&amp;" GB RAM and "&amp;TEXT(I104,"#,##0")&amp;" GB storage [P1][P5].")</f>
        <v/>
      </c>
    </row>
    <row r="127" ht="80" customHeight="1">
      <c r="B127" s="48" t="inlineStr">
        <is>
          <t>K5</t>
        </is>
      </c>
      <c r="C127" s="49">
        <f>IF(J6=0,"K5 is not used.",J8&amp;" ("&amp;J7&amp;"): "&amp;J67&amp;" with "&amp;J70&amp;" "&amp;J69&amp;". "&amp;IF(J42&lt;&gt;"Auto","The customer selected "&amp;J67&amp;". ",IF(J67="Basic","Basic is enough for a 99.5% SLA on public networking [C1]. ",IF(J67="Standard","Standard meets the SLA on public networking without self-managed keys [C1]. ",IF(J67="Enterprise",IF(J39="Yes","Private networking is required, which Confluent positions on Enterprise [C1]. ",IF(J40="Yes","Self-managed keys on Azure need Enterprise or Dedicated [C4]. ","The load is above Standard's 10-eCKU maximum [C1]. ")),"The elastic types cannot hold the planned load within their maximum units [C1]. "))))&amp;"The size is set by "&amp;IF(J79="Partitions",TEXT(J31,"#,##0")&amp;" planned leader partitions against "&amp;TEXT(INDEX(CF_PART,J68),"#,##0")&amp;" per unit",IF(J79="Ingress",TEXT(J33,"0.0")&amp;" MBps planned ingress against "&amp;TEXT(INDEX(CF_IN,J68),"#,##0")&amp;" MBps per unit",IF(J79="Egress",TEXT(J34,"0.0")&amp;" MBps planned egress against "&amp;TEXT(INDEX(CF_OUT,J68),"#,##0")&amp;" MBps per unit",IF(J79="Compacted partitions",TEXT(J32,"#,##0")&amp;" planned compacted partitions against "&amp;TEXT(INDEX(CF_COMPACT,J68),"#,##0")&amp;" per unit",IF(J79="Client connections",TEXT(J35,"#,##0")&amp;" planned connections against "&amp;TEXT(INDEX(CF_CONN,J68),"#,##0")&amp;" per unit",IF(J79="Requests",TEXT(J36,"#,##0")&amp;" planned requests per second against "&amp;TEXT(INDEX(CF_REQ,J68),"#,##0")&amp;" per unit","the minimum units Confluent requires for a "&amp;TEXT(J38*100,"0.0#")&amp;"% SLA"))))))&amp;" [C1]. Planned figures add "&amp;TEXT(J28,"0%")&amp;" growth and keep planned use at or below "&amp;TEXT(J29,"0%")&amp;" of capacity; the workbook applies Pega's 70% CPU action point to every dimension [P5][W]. Monthly quantities for pricing: "&amp;TEXT(J88,"#,##0")&amp;" GiB in, "&amp;TEXT(J89,"#,##0")&amp;" GiB out and "&amp;TEXT(J91,"#,##0")&amp;" GiB billed storage after replication [C2]. For comparison, Pega's reference for a self-managed cluster is "&amp;J94&amp;" brokers of "&amp;J101&amp;" CPU, "&amp;J102&amp;" GB RAM and "&amp;TEXT(J104,"#,##0")&amp;" GB storage [P1][P5].")</f>
        <v/>
      </c>
    </row>
    <row r="128" ht="80" customHeight="1">
      <c r="B128" s="48" t="inlineStr">
        <is>
          <t>K6</t>
        </is>
      </c>
      <c r="C128" s="49">
        <f>IF(K6=0,"K6 is not used.",K8&amp;" ("&amp;K7&amp;"): "&amp;K67&amp;" with "&amp;K70&amp;" "&amp;K69&amp;". "&amp;IF(K42&lt;&gt;"Auto","The customer selected "&amp;K67&amp;". ",IF(K67="Basic","Basic is enough for a 99.5% SLA on public networking [C1]. ",IF(K67="Standard","Standard meets the SLA on public networking without self-managed keys [C1]. ",IF(K67="Enterprise",IF(K39="Yes","Private networking is required, which Confluent positions on Enterprise [C1]. ",IF(K40="Yes","Self-managed keys on Azure need Enterprise or Dedicated [C4]. ","The load is above Standard's 10-eCKU maximum [C1]. ")),"The elastic types cannot hold the planned load within their maximum units [C1]. "))))&amp;"The size is set by "&amp;IF(K79="Partitions",TEXT(K31,"#,##0")&amp;" planned leader partitions against "&amp;TEXT(INDEX(CF_PART,K68),"#,##0")&amp;" per unit",IF(K79="Ingress",TEXT(K33,"0.0")&amp;" MBps planned ingress against "&amp;TEXT(INDEX(CF_IN,K68),"#,##0")&amp;" MBps per unit",IF(K79="Egress",TEXT(K34,"0.0")&amp;" MBps planned egress against "&amp;TEXT(INDEX(CF_OUT,K68),"#,##0")&amp;" MBps per unit",IF(K79="Compacted partitions",TEXT(K32,"#,##0")&amp;" planned compacted partitions against "&amp;TEXT(INDEX(CF_COMPACT,K68),"#,##0")&amp;" per unit",IF(K79="Client connections",TEXT(K35,"#,##0")&amp;" planned connections against "&amp;TEXT(INDEX(CF_CONN,K68),"#,##0")&amp;" per unit",IF(K79="Requests",TEXT(K36,"#,##0")&amp;" planned requests per second against "&amp;TEXT(INDEX(CF_REQ,K68),"#,##0")&amp;" per unit","the minimum units Confluent requires for a "&amp;TEXT(K38*100,"0.0#")&amp;"% SLA"))))))&amp;" [C1]. Planned figures add "&amp;TEXT(K28,"0%")&amp;" growth and keep planned use at or below "&amp;TEXT(K29,"0%")&amp;" of capacity; the workbook applies Pega's 70% CPU action point to every dimension [P5][W]. Monthly quantities for pricing: "&amp;TEXT(K88,"#,##0")&amp;" GiB in, "&amp;TEXT(K89,"#,##0")&amp;" GiB out and "&amp;TEXT(K91,"#,##0")&amp;" GiB billed storage after replication [C2]. For comparison, Pega's reference for a self-managed cluster is "&amp;K94&amp;" brokers of "&amp;K101&amp;" CPU, "&amp;K102&amp;" GB RAM and "&amp;TEXT(K104,"#,##0")&amp;" GB storage [P1][P5].")</f>
        <v/>
      </c>
    </row>
  </sheetData>
  <sheetProtection selectLockedCells="0" selectUnlockedCells="0" sheet="1" objects="0" insertRows="1" insertHyperlinks="1" autoFilter="0" scenarios="0" formatColumns="0" deleteColumns="1" insertColumns="1" pivotTables="1" deleteRows="1" formatCells="0" formatRows="0" sort="0"/>
  <mergeCells count="6">
    <mergeCell ref="C123:K123"/>
    <mergeCell ref="C127:K127"/>
    <mergeCell ref="C124:K124"/>
    <mergeCell ref="C126:K126"/>
    <mergeCell ref="C128:K128"/>
    <mergeCell ref="C125:K125"/>
  </mergeCells>
  <conditionalFormatting sqref="F106:K120">
    <cfRule type="expression" priority="1" dxfId="0">
      <formula>LEFT(F106,4)="FAIL"</formula>
    </cfRule>
    <cfRule type="expression" priority="2" dxfId="1">
      <formula>LEFT(F106,4)="WARN"</formula>
    </cfRule>
    <cfRule type="expression" priority="3" dxfId="2">
      <formula>LEFT(F106,4)="PASS"</formula>
    </cfRule>
    <cfRule type="expression" priority="4" dxfId="3">
      <formula>LEFT(F106,4)="INFO"</formula>
    </cfRule>
  </conditionalFormatting>
  <printOptions horizontalCentered="1"/>
  <pageMargins left="0.75" right="0.75" top="1" bottom="1" header="0.5" footer="0.5"/>
  <pageSetup orientation="landscape" fitToHeight="0" fitToWidth="1"/>
  <headerFooter>
    <oddHeader/>
    <oddFooter>&amp;LPega '26 Kafka and OpenSearch sizing workbook v1.0&amp;C&amp;A  -  page &amp;P of &amp;N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tabColor rgb="00548235"/>
    <outlinePr summaryBelow="1" summaryRight="1"/>
    <pageSetUpPr fitToPage="1"/>
  </sheetPr>
  <dimension ref="A1:K100"/>
  <sheetViews>
    <sheetView showGridLines="0" workbookViewId="0">
      <pane xSplit="5" ySplit="4" topLeftCell="F5"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11" customWidth="1" min="3" max="3"/>
    <col width="58" customWidth="1" min="4" max="4"/>
    <col width="9" customWidth="1" min="5" max="5"/>
    <col width="17" customWidth="1" min="6" max="6"/>
    <col width="17" customWidth="1" min="7" max="7"/>
    <col width="17" customWidth="1" min="8" max="8"/>
    <col width="17" customWidth="1" min="9" max="9"/>
    <col width="17" customWidth="1" min="10" max="10"/>
    <col width="17" customWidth="1" min="11" max="11"/>
  </cols>
  <sheetData>
    <row r="1">
      <c r="A1" s="21" t="inlineStr">
        <is>
          <t>7  Search sizing: managed OpenSearch nodes, storage and SRS</t>
        </is>
      </c>
    </row>
    <row r="2">
      <c r="A2" s="22" t="inlineStr">
        <is>
          <t>One column per search service. Pega's tables give the starting size; storage, shard and replica rules can raise the data-node count. Green rows are the results.</t>
        </is>
      </c>
    </row>
    <row r="4" ht="30" customHeight="1">
      <c r="A4" s="9" t="inlineStr">
        <is>
          <t>Step</t>
        </is>
      </c>
      <c r="B4" s="9" t="inlineStr">
        <is>
          <t>Item</t>
        </is>
      </c>
      <c r="C4" s="9" t="inlineStr">
        <is>
          <t>Unit</t>
        </is>
      </c>
      <c r="D4" s="9" t="inlineStr">
        <is>
          <t>How it is worked out</t>
        </is>
      </c>
      <c r="E4" s="9" t="inlineStr">
        <is>
          <t>Ref</t>
        </is>
      </c>
      <c r="F4" s="9" t="inlineStr">
        <is>
          <t>S1</t>
        </is>
      </c>
      <c r="G4" s="9" t="inlineStr">
        <is>
          <t>S2</t>
        </is>
      </c>
      <c r="H4" s="9" t="inlineStr">
        <is>
          <t>S3</t>
        </is>
      </c>
      <c r="I4" s="9" t="inlineStr">
        <is>
          <t>S4</t>
        </is>
      </c>
      <c r="J4" s="9" t="inlineStr">
        <is>
          <t>S5</t>
        </is>
      </c>
      <c r="K4" s="9" t="inlineStr">
        <is>
          <t>S6</t>
        </is>
      </c>
    </row>
    <row r="5" ht="16" customHeight="1">
      <c r="A5" s="31" t="inlineStr">
        <is>
          <t>A. Environments on this service</t>
        </is>
      </c>
      <c r="B5" s="32" t="n"/>
      <c r="C5" s="32" t="n"/>
      <c r="D5" s="32" t="n"/>
      <c r="E5" s="32" t="n"/>
      <c r="F5" s="32" t="n"/>
      <c r="G5" s="32" t="n"/>
      <c r="H5" s="32" t="n"/>
      <c r="I5" s="32" t="n"/>
      <c r="J5" s="32" t="n"/>
      <c r="K5" s="32" t="n"/>
    </row>
    <row r="6" ht="15.5" customHeight="1">
      <c r="A6" s="27" t="inlineStr">
        <is>
          <t>S.01</t>
        </is>
      </c>
      <c r="B6" s="26" t="inlineStr">
        <is>
          <t>Environments assigned</t>
        </is>
      </c>
      <c r="C6" s="27" t="inlineStr">
        <is>
          <t>count</t>
        </is>
      </c>
      <c r="D6" s="27" t="inlineStr">
        <is>
          <t>In-scope environments assigned to this service.</t>
        </is>
      </c>
      <c r="E6" s="27" t="inlineStr">
        <is>
          <t>-</t>
        </is>
      </c>
      <c r="F6" s="35">
        <f>COUNTIF(SD_SVC,F$4)</f>
        <v/>
      </c>
      <c r="G6" s="35">
        <f>COUNTIF(SD_SVC,G$4)</f>
        <v/>
      </c>
      <c r="H6" s="35">
        <f>COUNTIF(SD_SVC,H$4)</f>
        <v/>
      </c>
      <c r="I6" s="35">
        <f>COUNTIF(SD_SVC,I$4)</f>
        <v/>
      </c>
      <c r="J6" s="35">
        <f>COUNTIF(SD_SVC,J$4)</f>
        <v/>
      </c>
      <c r="K6" s="35">
        <f>COUNTIF(SD_SVC,K$4)</f>
        <v/>
      </c>
    </row>
    <row r="7" ht="15.5" customHeight="1">
      <c r="A7" s="27" t="inlineStr">
        <is>
          <t>S.02</t>
        </is>
      </c>
      <c r="B7" s="26" t="inlineStr">
        <is>
          <t>Environment codes</t>
        </is>
      </c>
      <c r="C7" s="27" t="inlineStr">
        <is>
          <t>text</t>
        </is>
      </c>
      <c r="D7" s="27" t="inlineStr"/>
      <c r="E7" s="27" t="inlineStr">
        <is>
          <t>-</t>
        </is>
      </c>
      <c r="F7" s="11">
        <f>TRIM(IF('5 Search Demand'!$B$7=F$4,'5 Search Demand'!$A$7&amp;" ","")&amp;IF('5 Search Demand'!$B$8=F$4,'5 Search Demand'!$A$8&amp;" ","")&amp;IF('5 Search Demand'!$B$9=F$4,'5 Search Demand'!$A$9&amp;" ","")&amp;IF('5 Search Demand'!$B$10=F$4,'5 Search Demand'!$A$10&amp;" ","")&amp;IF('5 Search Demand'!$B$11=F$4,'5 Search Demand'!$A$11&amp;" ","")&amp;IF('5 Search Demand'!$B$12=F$4,'5 Search Demand'!$A$12&amp;" ","")&amp;IF('5 Search Demand'!$B$13=F$4,'5 Search Demand'!$A$13&amp;" ","")&amp;IF('5 Search Demand'!$B$14=F$4,'5 Search Demand'!$A$14&amp;" ",""))</f>
        <v/>
      </c>
      <c r="G7" s="11">
        <f>TRIM(IF('5 Search Demand'!$B$7=G$4,'5 Search Demand'!$A$7&amp;" ","")&amp;IF('5 Search Demand'!$B$8=G$4,'5 Search Demand'!$A$8&amp;" ","")&amp;IF('5 Search Demand'!$B$9=G$4,'5 Search Demand'!$A$9&amp;" ","")&amp;IF('5 Search Demand'!$B$10=G$4,'5 Search Demand'!$A$10&amp;" ","")&amp;IF('5 Search Demand'!$B$11=G$4,'5 Search Demand'!$A$11&amp;" ","")&amp;IF('5 Search Demand'!$B$12=G$4,'5 Search Demand'!$A$12&amp;" ","")&amp;IF('5 Search Demand'!$B$13=G$4,'5 Search Demand'!$A$13&amp;" ","")&amp;IF('5 Search Demand'!$B$14=G$4,'5 Search Demand'!$A$14&amp;" ",""))</f>
        <v/>
      </c>
      <c r="H7" s="11">
        <f>TRIM(IF('5 Search Demand'!$B$7=H$4,'5 Search Demand'!$A$7&amp;" ","")&amp;IF('5 Search Demand'!$B$8=H$4,'5 Search Demand'!$A$8&amp;" ","")&amp;IF('5 Search Demand'!$B$9=H$4,'5 Search Demand'!$A$9&amp;" ","")&amp;IF('5 Search Demand'!$B$10=H$4,'5 Search Demand'!$A$10&amp;" ","")&amp;IF('5 Search Demand'!$B$11=H$4,'5 Search Demand'!$A$11&amp;" ","")&amp;IF('5 Search Demand'!$B$12=H$4,'5 Search Demand'!$A$12&amp;" ","")&amp;IF('5 Search Demand'!$B$13=H$4,'5 Search Demand'!$A$13&amp;" ","")&amp;IF('5 Search Demand'!$B$14=H$4,'5 Search Demand'!$A$14&amp;" ",""))</f>
        <v/>
      </c>
      <c r="I7" s="11">
        <f>TRIM(IF('5 Search Demand'!$B$7=I$4,'5 Search Demand'!$A$7&amp;" ","")&amp;IF('5 Search Demand'!$B$8=I$4,'5 Search Demand'!$A$8&amp;" ","")&amp;IF('5 Search Demand'!$B$9=I$4,'5 Search Demand'!$A$9&amp;" ","")&amp;IF('5 Search Demand'!$B$10=I$4,'5 Search Demand'!$A$10&amp;" ","")&amp;IF('5 Search Demand'!$B$11=I$4,'5 Search Demand'!$A$11&amp;" ","")&amp;IF('5 Search Demand'!$B$12=I$4,'5 Search Demand'!$A$12&amp;" ","")&amp;IF('5 Search Demand'!$B$13=I$4,'5 Search Demand'!$A$13&amp;" ","")&amp;IF('5 Search Demand'!$B$14=I$4,'5 Search Demand'!$A$14&amp;" ",""))</f>
        <v/>
      </c>
      <c r="J7" s="11">
        <f>TRIM(IF('5 Search Demand'!$B$7=J$4,'5 Search Demand'!$A$7&amp;" ","")&amp;IF('5 Search Demand'!$B$8=J$4,'5 Search Demand'!$A$8&amp;" ","")&amp;IF('5 Search Demand'!$B$9=J$4,'5 Search Demand'!$A$9&amp;" ","")&amp;IF('5 Search Demand'!$B$10=J$4,'5 Search Demand'!$A$10&amp;" ","")&amp;IF('5 Search Demand'!$B$11=J$4,'5 Search Demand'!$A$11&amp;" ","")&amp;IF('5 Search Demand'!$B$12=J$4,'5 Search Demand'!$A$12&amp;" ","")&amp;IF('5 Search Demand'!$B$13=J$4,'5 Search Demand'!$A$13&amp;" ","")&amp;IF('5 Search Demand'!$B$14=J$4,'5 Search Demand'!$A$14&amp;" ",""))</f>
        <v/>
      </c>
      <c r="K7" s="11">
        <f>TRIM(IF('5 Search Demand'!$B$7=K$4,'5 Search Demand'!$A$7&amp;" ","")&amp;IF('5 Search Demand'!$B$8=K$4,'5 Search Demand'!$A$8&amp;" ","")&amp;IF('5 Search Demand'!$B$9=K$4,'5 Search Demand'!$A$9&amp;" ","")&amp;IF('5 Search Demand'!$B$10=K$4,'5 Search Demand'!$A$10&amp;" ","")&amp;IF('5 Search Demand'!$B$11=K$4,'5 Search Demand'!$A$11&amp;" ","")&amp;IF('5 Search Demand'!$B$12=K$4,'5 Search Demand'!$A$12&amp;" ","")&amp;IF('5 Search Demand'!$B$13=K$4,'5 Search Demand'!$A$13&amp;" ","")&amp;IF('5 Search Demand'!$B$14=K$4,'5 Search Demand'!$A$14&amp;" ",""))</f>
        <v/>
      </c>
    </row>
    <row r="8" ht="15.5" customHeight="1">
      <c r="A8" s="27" t="inlineStr">
        <is>
          <t>S.03</t>
        </is>
      </c>
      <c r="B8" s="26" t="inlineStr">
        <is>
          <t>Service name</t>
        </is>
      </c>
      <c r="C8" s="27" t="inlineStr">
        <is>
          <t>text</t>
        </is>
      </c>
      <c r="D8" s="27" t="inlineStr"/>
      <c r="E8" s="27" t="inlineStr">
        <is>
          <t>-</t>
        </is>
      </c>
      <c r="F8" s="11">
        <f>IF('4 Search Services'!F6="",F$4,'4 Search Services'!F6)</f>
        <v/>
      </c>
      <c r="G8" s="11">
        <f>IF('4 Search Services'!G6="",G$4,'4 Search Services'!G6)</f>
        <v/>
      </c>
      <c r="H8" s="11">
        <f>IF('4 Search Services'!H6="",H$4,'4 Search Services'!H6)</f>
        <v/>
      </c>
      <c r="I8" s="11">
        <f>IF('4 Search Services'!I6="",I$4,'4 Search Services'!I6)</f>
        <v/>
      </c>
      <c r="J8" s="11">
        <f>IF('4 Search Services'!J6="",J$4,'4 Search Services'!J6)</f>
        <v/>
      </c>
      <c r="K8" s="11">
        <f>IF('4 Search Services'!K6="",K$4,'4 Search Services'!K6)</f>
        <v/>
      </c>
    </row>
    <row r="9" ht="15.5" customHeight="1">
      <c r="A9" s="27" t="inlineStr">
        <is>
          <t>S.04</t>
        </is>
      </c>
      <c r="B9" s="26" t="inlineStr">
        <is>
          <t>Most demanding landscape (rank)</t>
        </is>
      </c>
      <c r="C9" s="27" t="inlineStr">
        <is>
          <t>1-4</t>
        </is>
      </c>
      <c r="D9" s="27" t="inlineStr"/>
      <c r="E9" s="27" t="inlineStr">
        <is>
          <t>-</t>
        </is>
      </c>
      <c r="F9" s="35">
        <f>SUMPRODUCT(MAX((SD_SVC=F$4)*SD_RANK))</f>
        <v/>
      </c>
      <c r="G9" s="35">
        <f>SUMPRODUCT(MAX((SD_SVC=G$4)*SD_RANK))</f>
        <v/>
      </c>
      <c r="H9" s="35">
        <f>SUMPRODUCT(MAX((SD_SVC=H$4)*SD_RANK))</f>
        <v/>
      </c>
      <c r="I9" s="35">
        <f>SUMPRODUCT(MAX((SD_SVC=I$4)*SD_RANK))</f>
        <v/>
      </c>
      <c r="J9" s="35">
        <f>SUMPRODUCT(MAX((SD_SVC=J$4)*SD_RANK))</f>
        <v/>
      </c>
      <c r="K9" s="35">
        <f>SUMPRODUCT(MAX((SD_SVC=K$4)*SD_RANK))</f>
        <v/>
      </c>
    </row>
    <row r="10" ht="15.5" customHeight="1">
      <c r="A10" s="27" t="inlineStr">
        <is>
          <t>S.05</t>
        </is>
      </c>
      <c r="B10" s="26" t="inlineStr">
        <is>
          <t>Most demanding landscape</t>
        </is>
      </c>
      <c r="C10" s="27" t="inlineStr">
        <is>
          <t>text</t>
        </is>
      </c>
      <c r="D10" s="27" t="inlineStr"/>
      <c r="E10" s="27" t="inlineStr">
        <is>
          <t>P2</t>
        </is>
      </c>
      <c r="F10" s="11">
        <f>IF(F9=0,"-",INDEX(LANDSCAPES,F9))</f>
        <v/>
      </c>
      <c r="G10" s="11">
        <f>IF(G9=0,"-",INDEX(LANDSCAPES,G9))</f>
        <v/>
      </c>
      <c r="H10" s="11">
        <f>IF(H9=0,"-",INDEX(LANDSCAPES,H9))</f>
        <v/>
      </c>
      <c r="I10" s="11">
        <f>IF(I9=0,"-",INDEX(LANDSCAPES,I9))</f>
        <v/>
      </c>
      <c r="J10" s="11">
        <f>IF(J9=0,"-",INDEX(LANDSCAPES,J9))</f>
        <v/>
      </c>
      <c r="K10" s="11">
        <f>IF(K9=0,"-",INDEX(LANDSCAPES,K9))</f>
        <v/>
      </c>
    </row>
    <row r="11" ht="15.5" customHeight="1">
      <c r="A11" s="27" t="inlineStr">
        <is>
          <t>S.06</t>
        </is>
      </c>
      <c r="B11" s="26" t="inlineStr">
        <is>
          <t>Pega table rows used</t>
        </is>
      </c>
      <c r="C11" s="27" t="inlineStr">
        <is>
          <t>text</t>
        </is>
      </c>
      <c r="D11" s="27" t="inlineStr">
        <is>
          <t>Prod = 'Production, Stage'; Test = 'Testing, Development'.</t>
        </is>
      </c>
      <c r="E11" s="27" t="inlineStr">
        <is>
          <t>P2</t>
        </is>
      </c>
      <c r="F11" s="11">
        <f>IF(F9=0,"-",IF(F9&gt;=3,"Prod","Test"))</f>
        <v/>
      </c>
      <c r="G11" s="11">
        <f>IF(G9=0,"-",IF(G9&gt;=3,"Prod","Test"))</f>
        <v/>
      </c>
      <c r="H11" s="11">
        <f>IF(H9=0,"-",IF(H9&gt;=3,"Prod","Test"))</f>
        <v/>
      </c>
      <c r="I11" s="11">
        <f>IF(I9=0,"-",IF(I9&gt;=3,"Prod","Test"))</f>
        <v/>
      </c>
      <c r="J11" s="11">
        <f>IF(J9=0,"-",IF(J9&gt;=3,"Prod","Test"))</f>
        <v/>
      </c>
      <c r="K11" s="11">
        <f>IF(K9=0,"-",IF(K9&gt;=3,"Prod","Test"))</f>
        <v/>
      </c>
    </row>
    <row r="12" ht="16" customHeight="1">
      <c r="A12" s="31" t="inlineStr">
        <is>
          <t>B. Demand: sum of the environments on this service (from the Search Demand sheet)</t>
        </is>
      </c>
      <c r="B12" s="32" t="n"/>
      <c r="C12" s="32" t="n"/>
      <c r="D12" s="32" t="n"/>
      <c r="E12" s="32" t="n"/>
      <c r="F12" s="32" t="n"/>
      <c r="G12" s="32" t="n"/>
      <c r="H12" s="32" t="n"/>
      <c r="I12" s="32" t="n"/>
      <c r="J12" s="32" t="n"/>
      <c r="K12" s="32" t="n"/>
    </row>
    <row r="13" ht="15.5" customHeight="1">
      <c r="A13" s="27" t="inlineStr">
        <is>
          <t>S.07</t>
        </is>
      </c>
      <c r="B13" s="26" t="inlineStr">
        <is>
          <t>Searchable data today</t>
        </is>
      </c>
      <c r="C13" s="27" t="inlineStr">
        <is>
          <t>GB</t>
        </is>
      </c>
      <c r="D13" s="27" t="inlineStr"/>
      <c r="E13" s="27" t="inlineStr">
        <is>
          <t>-</t>
        </is>
      </c>
      <c r="F13" s="43">
        <f>SUMIF(SD_SVC,F$4,SD_GB)</f>
        <v/>
      </c>
      <c r="G13" s="43">
        <f>SUMIF(SD_SVC,G$4,SD_GB)</f>
        <v/>
      </c>
      <c r="H13" s="43">
        <f>SUMIF(SD_SVC,H$4,SD_GB)</f>
        <v/>
      </c>
      <c r="I13" s="43">
        <f>SUMIF(SD_SVC,I$4,SD_GB)</f>
        <v/>
      </c>
      <c r="J13" s="43">
        <f>SUMIF(SD_SVC,J$4,SD_GB)</f>
        <v/>
      </c>
      <c r="K13" s="43">
        <f>SUMIF(SD_SVC,K$4,SD_GB)</f>
        <v/>
      </c>
    </row>
    <row r="14" ht="15.5" customHeight="1">
      <c r="A14" s="27" t="inlineStr">
        <is>
          <t>S.08</t>
        </is>
      </c>
      <c r="B14" s="26" t="inlineStr">
        <is>
          <t>Searchable data at end of period</t>
        </is>
      </c>
      <c r="C14" s="27" t="inlineStr">
        <is>
          <t>GB</t>
        </is>
      </c>
      <c r="D14" s="27" t="inlineStr">
        <is>
          <t>Sum of each environment's grown figure.</t>
        </is>
      </c>
      <c r="E14" s="27" t="inlineStr">
        <is>
          <t>-</t>
        </is>
      </c>
      <c r="F14" s="43">
        <f>SUMIF(SD_SVC,F$4,SD_FGB)</f>
        <v/>
      </c>
      <c r="G14" s="43">
        <f>SUMIF(SD_SVC,G$4,SD_FGB)</f>
        <v/>
      </c>
      <c r="H14" s="43">
        <f>SUMIF(SD_SVC,H$4,SD_FGB)</f>
        <v/>
      </c>
      <c r="I14" s="43">
        <f>SUMIF(SD_SVC,I$4,SD_FGB)</f>
        <v/>
      </c>
      <c r="J14" s="43">
        <f>SUMIF(SD_SVC,J$4,SD_FGB)</f>
        <v/>
      </c>
      <c r="K14" s="43">
        <f>SUMIF(SD_SVC,K$4,SD_FGB)</f>
        <v/>
      </c>
    </row>
    <row r="15" ht="15.5" customHeight="1">
      <c r="A15" s="27" t="inlineStr">
        <is>
          <t>S.09</t>
        </is>
      </c>
      <c r="B15" s="26" t="inlineStr">
        <is>
          <t>Temporary extra data</t>
        </is>
      </c>
      <c r="C15" s="27" t="inlineStr">
        <is>
          <t>GB</t>
        </is>
      </c>
      <c r="D15" s="27" t="inlineStr"/>
      <c r="E15" s="27" t="inlineStr">
        <is>
          <t>-</t>
        </is>
      </c>
      <c r="F15" s="43">
        <f>SUMIF(SD_SVC,F$4,SD_TMP)</f>
        <v/>
      </c>
      <c r="G15" s="43">
        <f>SUMIF(SD_SVC,G$4,SD_TMP)</f>
        <v/>
      </c>
      <c r="H15" s="43">
        <f>SUMIF(SD_SVC,H$4,SD_TMP)</f>
        <v/>
      </c>
      <c r="I15" s="43">
        <f>SUMIF(SD_SVC,I$4,SD_TMP)</f>
        <v/>
      </c>
      <c r="J15" s="43">
        <f>SUMIF(SD_SVC,J$4,SD_TMP)</f>
        <v/>
      </c>
      <c r="K15" s="43">
        <f>SUMIF(SD_SVC,K$4,SD_TMP)</f>
        <v/>
      </c>
    </row>
    <row r="16" ht="15.5" customHeight="1">
      <c r="A16" s="27" t="inlineStr">
        <is>
          <t>S.10</t>
        </is>
      </c>
      <c r="B16" s="26" t="inlineStr">
        <is>
          <t>Documents at end of period</t>
        </is>
      </c>
      <c r="C16" s="27" t="inlineStr">
        <is>
          <t>count</t>
        </is>
      </c>
      <c r="D16" s="27" t="inlineStr"/>
      <c r="E16" s="27" t="inlineStr">
        <is>
          <t>-</t>
        </is>
      </c>
      <c r="F16" s="38">
        <f>SUMIF(SD_SVC,F$4,SD_FDOCS)</f>
        <v/>
      </c>
      <c r="G16" s="38">
        <f>SUMIF(SD_SVC,G$4,SD_FDOCS)</f>
        <v/>
      </c>
      <c r="H16" s="38">
        <f>SUMIF(SD_SVC,H$4,SD_FDOCS)</f>
        <v/>
      </c>
      <c r="I16" s="38">
        <f>SUMIF(SD_SVC,I$4,SD_FDOCS)</f>
        <v/>
      </c>
      <c r="J16" s="38">
        <f>SUMIF(SD_SVC,J$4,SD_FDOCS)</f>
        <v/>
      </c>
      <c r="K16" s="38">
        <f>SUMIF(SD_SVC,K$4,SD_FDOCS)</f>
        <v/>
      </c>
    </row>
    <row r="17" ht="15.5" customHeight="1">
      <c r="A17" s="27" t="inlineStr">
        <is>
          <t>S.11</t>
        </is>
      </c>
      <c r="B17" s="26" t="inlineStr">
        <is>
          <t>Indexes</t>
        </is>
      </c>
      <c r="C17" s="27" t="inlineStr">
        <is>
          <t>count</t>
        </is>
      </c>
      <c r="D17" s="27" t="inlineStr"/>
      <c r="E17" s="27" t="inlineStr">
        <is>
          <t>-</t>
        </is>
      </c>
      <c r="F17" s="38">
        <f>SUMIF(SD_SVC,F$4,SD_IDX)</f>
        <v/>
      </c>
      <c r="G17" s="38">
        <f>SUMIF(SD_SVC,G$4,SD_IDX)</f>
        <v/>
      </c>
      <c r="H17" s="38">
        <f>SUMIF(SD_SVC,H$4,SD_IDX)</f>
        <v/>
      </c>
      <c r="I17" s="38">
        <f>SUMIF(SD_SVC,I$4,SD_IDX)</f>
        <v/>
      </c>
      <c r="J17" s="38">
        <f>SUMIF(SD_SVC,J$4,SD_IDX)</f>
        <v/>
      </c>
      <c r="K17" s="38">
        <f>SUMIF(SD_SVC,K$4,SD_IDX)</f>
        <v/>
      </c>
    </row>
    <row r="18" ht="15.5" customHeight="1">
      <c r="A18" s="27" t="inlineStr">
        <is>
          <t>S.12</t>
        </is>
      </c>
      <c r="B18" s="26" t="inlineStr">
        <is>
          <t>Primary shards</t>
        </is>
      </c>
      <c r="C18" s="27" t="inlineStr">
        <is>
          <t>count</t>
        </is>
      </c>
      <c r="D18" s="27" t="inlineStr"/>
      <c r="E18" s="27" t="inlineStr">
        <is>
          <t>-</t>
        </is>
      </c>
      <c r="F18" s="38">
        <f>SUMIF(SD_SVC,F$4,SD_PRIM)</f>
        <v/>
      </c>
      <c r="G18" s="38">
        <f>SUMIF(SD_SVC,G$4,SD_PRIM)</f>
        <v/>
      </c>
      <c r="H18" s="38">
        <f>SUMIF(SD_SVC,H$4,SD_PRIM)</f>
        <v/>
      </c>
      <c r="I18" s="38">
        <f>SUMIF(SD_SVC,I$4,SD_PRIM)</f>
        <v/>
      </c>
      <c r="J18" s="38">
        <f>SUMIF(SD_SVC,J$4,SD_PRIM)</f>
        <v/>
      </c>
      <c r="K18" s="38">
        <f>SUMIF(SD_SVC,K$4,SD_PRIM)</f>
        <v/>
      </c>
    </row>
    <row r="19" ht="15.5" customHeight="1">
      <c r="A19" s="27" t="inlineStr">
        <is>
          <t>S.13</t>
        </is>
      </c>
      <c r="B19" s="26" t="inlineStr">
        <is>
          <t>Environments with Example inputs</t>
        </is>
      </c>
      <c r="C19" s="27" t="inlineStr">
        <is>
          <t>count</t>
        </is>
      </c>
      <c r="D19" s="27" t="inlineStr"/>
      <c r="E19" s="27" t="inlineStr">
        <is>
          <t>-</t>
        </is>
      </c>
      <c r="F19" s="35">
        <f>SUMPRODUCT((SD_SVC=F$4)*(SD_STATUS="Example"))</f>
        <v/>
      </c>
      <c r="G19" s="35">
        <f>SUMPRODUCT((SD_SVC=G$4)*(SD_STATUS="Example"))</f>
        <v/>
      </c>
      <c r="H19" s="35">
        <f>SUMPRODUCT((SD_SVC=H$4)*(SD_STATUS="Example"))</f>
        <v/>
      </c>
      <c r="I19" s="35">
        <f>SUMPRODUCT((SD_SVC=I$4)*(SD_STATUS="Example"))</f>
        <v/>
      </c>
      <c r="J19" s="35">
        <f>SUMPRODUCT((SD_SVC=J$4)*(SD_STATUS="Example"))</f>
        <v/>
      </c>
      <c r="K19" s="35">
        <f>SUMPRODUCT((SD_SVC=K$4)*(SD_STATUS="Example"))</f>
        <v/>
      </c>
    </row>
    <row r="20" ht="15.5" customHeight="1">
      <c r="A20" s="27" t="inlineStr">
        <is>
          <t>S.14</t>
        </is>
      </c>
      <c r="B20" s="26" t="inlineStr">
        <is>
          <t>Environments without an input status</t>
        </is>
      </c>
      <c r="C20" s="27" t="inlineStr">
        <is>
          <t>count</t>
        </is>
      </c>
      <c r="D20" s="27" t="inlineStr"/>
      <c r="E20" s="27" t="inlineStr">
        <is>
          <t>-</t>
        </is>
      </c>
      <c r="F20" s="35">
        <f>SUMPRODUCT((SD_SVC=F$4)*(SD_STATUS=""))</f>
        <v/>
      </c>
      <c r="G20" s="35">
        <f>SUMPRODUCT((SD_SVC=G$4)*(SD_STATUS=""))</f>
        <v/>
      </c>
      <c r="H20" s="35">
        <f>SUMPRODUCT((SD_SVC=H$4)*(SD_STATUS=""))</f>
        <v/>
      </c>
      <c r="I20" s="35">
        <f>SUMPRODUCT((SD_SVC=I$4)*(SD_STATUS=""))</f>
        <v/>
      </c>
      <c r="J20" s="35">
        <f>SUMPRODUCT((SD_SVC=J$4)*(SD_STATUS=""))</f>
        <v/>
      </c>
      <c r="K20" s="35">
        <f>SUMPRODUCT((SD_SVC=K$4)*(SD_STATUS=""))</f>
        <v/>
      </c>
    </row>
    <row r="21" ht="16" customHeight="1">
      <c r="A21" s="31" t="inlineStr">
        <is>
          <t>C. Requirements from the Search Services sheet</t>
        </is>
      </c>
      <c r="B21" s="32" t="n"/>
      <c r="C21" s="32" t="n"/>
      <c r="D21" s="32" t="n"/>
      <c r="E21" s="32" t="n"/>
      <c r="F21" s="32" t="n"/>
      <c r="G21" s="32" t="n"/>
      <c r="H21" s="32" t="n"/>
      <c r="I21" s="32" t="n"/>
      <c r="J21" s="32" t="n"/>
      <c r="K21" s="32" t="n"/>
    </row>
    <row r="22" ht="15.5" customHeight="1">
      <c r="A22" s="27" t="inlineStr">
        <is>
          <t>S.15</t>
        </is>
      </c>
      <c r="B22" s="26" t="inlineStr">
        <is>
          <t>High availability</t>
        </is>
      </c>
      <c r="C22" s="27" t="inlineStr">
        <is>
          <t>Yes/No</t>
        </is>
      </c>
      <c r="D22" s="27" t="inlineStr"/>
      <c r="E22" s="27" t="inlineStr">
        <is>
          <t>P2</t>
        </is>
      </c>
      <c r="F22" s="11">
        <f>IF('4 Search Services'!F9="","Yes",'4 Search Services'!F9)</f>
        <v/>
      </c>
      <c r="G22" s="11">
        <f>IF('4 Search Services'!G9="","Yes",'4 Search Services'!G9)</f>
        <v/>
      </c>
      <c r="H22" s="11">
        <f>IF('4 Search Services'!H9="","Yes",'4 Search Services'!H9)</f>
        <v/>
      </c>
      <c r="I22" s="11">
        <f>IF('4 Search Services'!I9="","Yes",'4 Search Services'!I9)</f>
        <v/>
      </c>
      <c r="J22" s="11">
        <f>IF('4 Search Services'!J9="","Yes",'4 Search Services'!J9)</f>
        <v/>
      </c>
      <c r="K22" s="11">
        <f>IF('4 Search Services'!K9="","Yes",'4 Search Services'!K9)</f>
        <v/>
      </c>
    </row>
    <row r="23" ht="15.5" customHeight="1">
      <c r="A23" s="27" t="inlineStr">
        <is>
          <t>S.16</t>
        </is>
      </c>
      <c r="B23" s="26" t="inlineStr">
        <is>
          <t>Availability zones</t>
        </is>
      </c>
      <c r="C23" s="27" t="inlineStr">
        <is>
          <t>count</t>
        </is>
      </c>
      <c r="D23" s="27" t="inlineStr"/>
      <c r="E23" s="27" t="inlineStr">
        <is>
          <t>O1</t>
        </is>
      </c>
      <c r="F23" s="35">
        <f>IF('4 Search Services'!F10="",3,'4 Search Services'!F10)</f>
        <v/>
      </c>
      <c r="G23" s="35">
        <f>IF('4 Search Services'!G10="",3,'4 Search Services'!G10)</f>
        <v/>
      </c>
      <c r="H23" s="35">
        <f>IF('4 Search Services'!H10="",3,'4 Search Services'!H10)</f>
        <v/>
      </c>
      <c r="I23" s="35">
        <f>IF('4 Search Services'!I10="",3,'4 Search Services'!I10)</f>
        <v/>
      </c>
      <c r="J23" s="35">
        <f>IF('4 Search Services'!J10="",3,'4 Search Services'!J10)</f>
        <v/>
      </c>
      <c r="K23" s="35">
        <f>IF('4 Search Services'!K10="",3,'4 Search Services'!K10)</f>
        <v/>
      </c>
    </row>
    <row r="24" ht="15.5" customHeight="1">
      <c r="A24" s="27" t="inlineStr">
        <is>
          <t>S.17</t>
        </is>
      </c>
      <c r="B24" s="26" t="inlineStr">
        <is>
          <t>Replicas per primary</t>
        </is>
      </c>
      <c r="C24" s="27" t="inlineStr">
        <is>
          <t>count</t>
        </is>
      </c>
      <c r="D24" s="27" t="inlineStr"/>
      <c r="E24" s="27" t="inlineStr">
        <is>
          <t>O2</t>
        </is>
      </c>
      <c r="F24" s="35">
        <f>IF('4 Search Services'!F11="",1,'4 Search Services'!F11)</f>
        <v/>
      </c>
      <c r="G24" s="35">
        <f>IF('4 Search Services'!G11="",1,'4 Search Services'!G11)</f>
        <v/>
      </c>
      <c r="H24" s="35">
        <f>IF('4 Search Services'!H11="",1,'4 Search Services'!H11)</f>
        <v/>
      </c>
      <c r="I24" s="35">
        <f>IF('4 Search Services'!I11="",1,'4 Search Services'!I11)</f>
        <v/>
      </c>
      <c r="J24" s="35">
        <f>IF('4 Search Services'!J11="",1,'4 Search Services'!J11)</f>
        <v/>
      </c>
      <c r="K24" s="35">
        <f>IF('4 Search Services'!K11="",1,'4 Search Services'!K11)</f>
        <v/>
      </c>
    </row>
    <row r="25" ht="15.5" customHeight="1">
      <c r="A25" s="27" t="inlineStr">
        <is>
          <t>S.18</t>
        </is>
      </c>
      <c r="B25" s="26" t="inlineStr">
        <is>
          <t>Provider storage overhead</t>
        </is>
      </c>
      <c r="C25" s="27" t="inlineStr">
        <is>
          <t>%</t>
        </is>
      </c>
      <c r="D25" s="27" t="inlineStr"/>
      <c r="E25" s="27" t="inlineStr">
        <is>
          <t>A1</t>
        </is>
      </c>
      <c r="F25" s="44">
        <f>IF('4 Search Services'!F14="",A_SVC_OVH,'4 Search Services'!F14)</f>
        <v/>
      </c>
      <c r="G25" s="44">
        <f>IF('4 Search Services'!G14="",A_SVC_OVH,'4 Search Services'!G14)</f>
        <v/>
      </c>
      <c r="H25" s="44">
        <f>IF('4 Search Services'!H14="",A_SVC_OVH,'4 Search Services'!H14)</f>
        <v/>
      </c>
      <c r="I25" s="44">
        <f>IF('4 Search Services'!I14="",A_SVC_OVH,'4 Search Services'!I14)</f>
        <v/>
      </c>
      <c r="J25" s="44">
        <f>IF('4 Search Services'!J14="",A_SVC_OVH,'4 Search Services'!J14)</f>
        <v/>
      </c>
      <c r="K25" s="44">
        <f>IF('4 Search Services'!K14="",A_SVC_OVH,'4 Search Services'!K14)</f>
        <v/>
      </c>
    </row>
    <row r="26" ht="15.5" customHeight="1">
      <c r="A26" s="27" t="inlineStr">
        <is>
          <t>S.19</t>
        </is>
      </c>
      <c r="B26" s="26" t="inlineStr">
        <is>
          <t>Operating system reserve</t>
        </is>
      </c>
      <c r="C26" s="27" t="inlineStr">
        <is>
          <t>%</t>
        </is>
      </c>
      <c r="D26" s="27" t="inlineStr"/>
      <c r="E26" s="27" t="inlineStr">
        <is>
          <t>A1</t>
        </is>
      </c>
      <c r="F26" s="44">
        <f>IF('4 Search Services'!F15="",A_LINUX,'4 Search Services'!F15)</f>
        <v/>
      </c>
      <c r="G26" s="44">
        <f>IF('4 Search Services'!G15="",A_LINUX,'4 Search Services'!G15)</f>
        <v/>
      </c>
      <c r="H26" s="44">
        <f>IF('4 Search Services'!H15="",A_LINUX,'4 Search Services'!H15)</f>
        <v/>
      </c>
      <c r="I26" s="44">
        <f>IF('4 Search Services'!I15="",A_LINUX,'4 Search Services'!I15)</f>
        <v/>
      </c>
      <c r="J26" s="44">
        <f>IF('4 Search Services'!J15="",A_LINUX,'4 Search Services'!J15)</f>
        <v/>
      </c>
      <c r="K26" s="44">
        <f>IF('4 Search Services'!K15="",A_LINUX,'4 Search Services'!K15)</f>
        <v/>
      </c>
    </row>
    <row r="27" ht="15.5" customHeight="1">
      <c r="A27" s="27" t="inlineStr">
        <is>
          <t>S.20</t>
        </is>
      </c>
      <c r="B27" s="26" t="inlineStr">
        <is>
          <t>Indexing overhead</t>
        </is>
      </c>
      <c r="C27" s="27" t="inlineStr">
        <is>
          <t>%</t>
        </is>
      </c>
      <c r="D27" s="27" t="inlineStr"/>
      <c r="E27" s="27" t="inlineStr">
        <is>
          <t>A1</t>
        </is>
      </c>
      <c r="F27" s="44">
        <f>IF('4 Search Services'!F16="",A_INDEX_OVH,'4 Search Services'!F16)</f>
        <v/>
      </c>
      <c r="G27" s="44">
        <f>IF('4 Search Services'!G16="",A_INDEX_OVH,'4 Search Services'!G16)</f>
        <v/>
      </c>
      <c r="H27" s="44">
        <f>IF('4 Search Services'!H16="",A_INDEX_OVH,'4 Search Services'!H16)</f>
        <v/>
      </c>
      <c r="I27" s="44">
        <f>IF('4 Search Services'!I16="",A_INDEX_OVH,'4 Search Services'!I16)</f>
        <v/>
      </c>
      <c r="J27" s="44">
        <f>IF('4 Search Services'!J16="",A_INDEX_OVH,'4 Search Services'!J16)</f>
        <v/>
      </c>
      <c r="K27" s="44">
        <f>IF('4 Search Services'!K16="",A_INDEX_OVH,'4 Search Services'!K16)</f>
        <v/>
      </c>
    </row>
    <row r="28" ht="16" customHeight="1">
      <c r="A28" s="31" t="inlineStr">
        <is>
          <t>D. Pega sizing profile</t>
        </is>
      </c>
      <c r="B28" s="32" t="n"/>
      <c r="C28" s="32" t="n"/>
      <c r="D28" s="32" t="n"/>
      <c r="E28" s="32" t="n"/>
      <c r="F28" s="32" t="n"/>
      <c r="G28" s="32" t="n"/>
      <c r="H28" s="32" t="n"/>
      <c r="I28" s="32" t="n"/>
      <c r="J28" s="32" t="n"/>
      <c r="K28" s="32" t="n"/>
    </row>
    <row r="29" ht="42.5" customHeight="1">
      <c r="A29" s="27" t="inlineStr">
        <is>
          <t>S.21</t>
        </is>
      </c>
      <c r="B29" s="26" t="inlineStr">
        <is>
          <t>Profile by the workbook rule</t>
        </is>
      </c>
      <c r="C29" s="27" t="inlineStr">
        <is>
          <t>text</t>
        </is>
      </c>
      <c r="D29" s="27" t="inlineStr">
        <is>
          <t>Large when searchable data at the end of the period reaches the 2 TB of Pega's large example, otherwise Default (W). Document count is reported in the checks.</t>
        </is>
      </c>
      <c r="E29" s="27" t="inlineStr">
        <is>
          <t>P2, W</t>
        </is>
      </c>
      <c r="F29" s="11">
        <f>IF(F6=0,"-",IF(F14&gt;=P_SEARCH_LARGE_GB,"Large","Default"))</f>
        <v/>
      </c>
      <c r="G29" s="11">
        <f>IF(G6=0,"-",IF(G14&gt;=P_SEARCH_LARGE_GB,"Large","Default"))</f>
        <v/>
      </c>
      <c r="H29" s="11">
        <f>IF(H6=0,"-",IF(H14&gt;=P_SEARCH_LARGE_GB,"Large","Default"))</f>
        <v/>
      </c>
      <c r="I29" s="11">
        <f>IF(I6=0,"-",IF(I14&gt;=P_SEARCH_LARGE_GB,"Large","Default"))</f>
        <v/>
      </c>
      <c r="J29" s="11">
        <f>IF(J6=0,"-",IF(J14&gt;=P_SEARCH_LARGE_GB,"Large","Default"))</f>
        <v/>
      </c>
      <c r="K29" s="11">
        <f>IF(K6=0,"-",IF(K14&gt;=P_SEARCH_LARGE_GB,"Large","Default"))</f>
        <v/>
      </c>
    </row>
    <row r="30" ht="15.5" customHeight="1">
      <c r="A30" s="27" t="inlineStr">
        <is>
          <t>S.22</t>
        </is>
      </c>
      <c r="B30" s="26" t="inlineStr">
        <is>
          <t>Profile used</t>
        </is>
      </c>
      <c r="C30" s="27" t="inlineStr">
        <is>
          <t>text</t>
        </is>
      </c>
      <c r="D30" s="27" t="inlineStr">
        <is>
          <t>The override on the Search Services sheet, if set.</t>
        </is>
      </c>
      <c r="E30" s="27" t="inlineStr">
        <is>
          <t>P2</t>
        </is>
      </c>
      <c r="F30" s="12">
        <f>IF(F6=0,"-",IF(OR('4 Search Services'!F12="",'4 Search Services'!F12="Auto"),F29,'4 Search Services'!F12))</f>
        <v/>
      </c>
      <c r="G30" s="12">
        <f>IF(G6=0,"-",IF(OR('4 Search Services'!G12="",'4 Search Services'!G12="Auto"),G29,'4 Search Services'!G12))</f>
        <v/>
      </c>
      <c r="H30" s="12">
        <f>IF(H6=0,"-",IF(OR('4 Search Services'!H12="",'4 Search Services'!H12="Auto"),H29,'4 Search Services'!H12))</f>
        <v/>
      </c>
      <c r="I30" s="12">
        <f>IF(I6=0,"-",IF(OR('4 Search Services'!I12="",'4 Search Services'!I12="Auto"),I29,'4 Search Services'!I12))</f>
        <v/>
      </c>
      <c r="J30" s="12">
        <f>IF(J6=0,"-",IF(OR('4 Search Services'!J12="",'4 Search Services'!J12="Auto"),J29,'4 Search Services'!J12))</f>
        <v/>
      </c>
      <c r="K30" s="12">
        <f>IF(K6=0,"-",IF(OR('4 Search Services'!K12="",'4 Search Services'!K12="Auto"),K29,'4 Search Services'!K12))</f>
        <v/>
      </c>
    </row>
    <row r="31" ht="15.5" customHeight="1">
      <c r="A31" s="27" t="inlineStr">
        <is>
          <t>S.23</t>
        </is>
      </c>
      <c r="B31" s="26" t="inlineStr">
        <is>
          <t>Pega data nodes</t>
        </is>
      </c>
      <c r="C31" s="27" t="inlineStr">
        <is>
          <t>count</t>
        </is>
      </c>
      <c r="D31" s="27" t="inlineStr">
        <is>
          <t>From the Pega table for the profile and landscape.</t>
        </is>
      </c>
      <c r="E31" s="27" t="inlineStr">
        <is>
          <t>P2</t>
        </is>
      </c>
      <c r="F31" s="35">
        <f>IF(F6=0,0,IFERROR(INDEX(PS_N,MATCH(F30&amp;"|Data|"&amp;F11,PS_KEY,0)),0))</f>
        <v/>
      </c>
      <c r="G31" s="35">
        <f>IF(G6=0,0,IFERROR(INDEX(PS_N,MATCH(G30&amp;"|Data|"&amp;G11,PS_KEY,0)),0))</f>
        <v/>
      </c>
      <c r="H31" s="35">
        <f>IF(H6=0,0,IFERROR(INDEX(PS_N,MATCH(H30&amp;"|Data|"&amp;H11,PS_KEY,0)),0))</f>
        <v/>
      </c>
      <c r="I31" s="35">
        <f>IF(I6=0,0,IFERROR(INDEX(PS_N,MATCH(I30&amp;"|Data|"&amp;I11,PS_KEY,0)),0))</f>
        <v/>
      </c>
      <c r="J31" s="35">
        <f>IF(J6=0,0,IFERROR(INDEX(PS_N,MATCH(J30&amp;"|Data|"&amp;J11,PS_KEY,0)),0))</f>
        <v/>
      </c>
      <c r="K31" s="35">
        <f>IF(K6=0,0,IFERROR(INDEX(PS_N,MATCH(K30&amp;"|Data|"&amp;K11,PS_KEY,0)),0))</f>
        <v/>
      </c>
    </row>
    <row r="32" ht="15.5" customHeight="1">
      <c r="A32" s="27" t="inlineStr">
        <is>
          <t>S.24</t>
        </is>
      </c>
      <c r="B32" s="26" t="inlineStr">
        <is>
          <t>Pega data node CPU</t>
        </is>
      </c>
      <c r="C32" s="27" t="inlineStr">
        <is>
          <t>vCPU</t>
        </is>
      </c>
      <c r="D32" s="27" t="inlineStr"/>
      <c r="E32" s="27" t="inlineStr">
        <is>
          <t>P2</t>
        </is>
      </c>
      <c r="F32" s="35">
        <f>IF(F6=0,0,IFERROR(INDEX(PS_CPU,MATCH(F30&amp;"|Data|"&amp;F11,PS_KEY,0)),0))</f>
        <v/>
      </c>
      <c r="G32" s="35">
        <f>IF(G6=0,0,IFERROR(INDEX(PS_CPU,MATCH(G30&amp;"|Data|"&amp;G11,PS_KEY,0)),0))</f>
        <v/>
      </c>
      <c r="H32" s="35">
        <f>IF(H6=0,0,IFERROR(INDEX(PS_CPU,MATCH(H30&amp;"|Data|"&amp;H11,PS_KEY,0)),0))</f>
        <v/>
      </c>
      <c r="I32" s="35">
        <f>IF(I6=0,0,IFERROR(INDEX(PS_CPU,MATCH(I30&amp;"|Data|"&amp;I11,PS_KEY,0)),0))</f>
        <v/>
      </c>
      <c r="J32" s="35">
        <f>IF(J6=0,0,IFERROR(INDEX(PS_CPU,MATCH(J30&amp;"|Data|"&amp;J11,PS_KEY,0)),0))</f>
        <v/>
      </c>
      <c r="K32" s="35">
        <f>IF(K6=0,0,IFERROR(INDEX(PS_CPU,MATCH(K30&amp;"|Data|"&amp;K11,PS_KEY,0)),0))</f>
        <v/>
      </c>
    </row>
    <row r="33" ht="15.5" customHeight="1">
      <c r="A33" s="27" t="inlineStr">
        <is>
          <t>S.25</t>
        </is>
      </c>
      <c r="B33" s="26" t="inlineStr">
        <is>
          <t>Pega data node RAM</t>
        </is>
      </c>
      <c r="C33" s="27" t="inlineStr">
        <is>
          <t>GB</t>
        </is>
      </c>
      <c r="D33" s="27" t="inlineStr"/>
      <c r="E33" s="27" t="inlineStr">
        <is>
          <t>P2</t>
        </is>
      </c>
      <c r="F33" s="35">
        <f>IF(F6=0,0,IFERROR(INDEX(PS_RAM,MATCH(F30&amp;"|Data|"&amp;F11,PS_KEY,0)),0))</f>
        <v/>
      </c>
      <c r="G33" s="35">
        <f>IF(G6=0,0,IFERROR(INDEX(PS_RAM,MATCH(G30&amp;"|Data|"&amp;G11,PS_KEY,0)),0))</f>
        <v/>
      </c>
      <c r="H33" s="35">
        <f>IF(H6=0,0,IFERROR(INDEX(PS_RAM,MATCH(H30&amp;"|Data|"&amp;H11,PS_KEY,0)),0))</f>
        <v/>
      </c>
      <c r="I33" s="35">
        <f>IF(I6=0,0,IFERROR(INDEX(PS_RAM,MATCH(I30&amp;"|Data|"&amp;I11,PS_KEY,0)),0))</f>
        <v/>
      </c>
      <c r="J33" s="35">
        <f>IF(J6=0,0,IFERROR(INDEX(PS_RAM,MATCH(J30&amp;"|Data|"&amp;J11,PS_KEY,0)),0))</f>
        <v/>
      </c>
      <c r="K33" s="35">
        <f>IF(K6=0,0,IFERROR(INDEX(PS_RAM,MATCH(K30&amp;"|Data|"&amp;K11,PS_KEY,0)),0))</f>
        <v/>
      </c>
    </row>
    <row r="34" ht="15.5" customHeight="1">
      <c r="A34" s="27" t="inlineStr">
        <is>
          <t>S.26</t>
        </is>
      </c>
      <c r="B34" s="26" t="inlineStr">
        <is>
          <t>Pega data node storage</t>
        </is>
      </c>
      <c r="C34" s="27" t="inlineStr">
        <is>
          <t>GB</t>
        </is>
      </c>
      <c r="D34" s="27" t="inlineStr"/>
      <c r="E34" s="27" t="inlineStr">
        <is>
          <t>P2</t>
        </is>
      </c>
      <c r="F34" s="38">
        <f>IF(F6=0,0,IFERROR(INDEX(PS_DISK,MATCH(F30&amp;"|Data|"&amp;F11,PS_KEY,0)),0))</f>
        <v/>
      </c>
      <c r="G34" s="38">
        <f>IF(G6=0,0,IFERROR(INDEX(PS_DISK,MATCH(G30&amp;"|Data|"&amp;G11,PS_KEY,0)),0))</f>
        <v/>
      </c>
      <c r="H34" s="38">
        <f>IF(H6=0,0,IFERROR(INDEX(PS_DISK,MATCH(H30&amp;"|Data|"&amp;H11,PS_KEY,0)),0))</f>
        <v/>
      </c>
      <c r="I34" s="38">
        <f>IF(I6=0,0,IFERROR(INDEX(PS_DISK,MATCH(I30&amp;"|Data|"&amp;I11,PS_KEY,0)),0))</f>
        <v/>
      </c>
      <c r="J34" s="38">
        <f>IF(J6=0,0,IFERROR(INDEX(PS_DISK,MATCH(J30&amp;"|Data|"&amp;J11,PS_KEY,0)),0))</f>
        <v/>
      </c>
      <c r="K34" s="38">
        <f>IF(K6=0,0,IFERROR(INDEX(PS_DISK,MATCH(K30&amp;"|Data|"&amp;K11,PS_KEY,0)),0))</f>
        <v/>
      </c>
    </row>
    <row r="35" ht="15.5" customHeight="1">
      <c r="A35" s="27" t="inlineStr">
        <is>
          <t>S.27</t>
        </is>
      </c>
      <c r="B35" s="26" t="inlineStr">
        <is>
          <t>Pega cluster manager nodes</t>
        </is>
      </c>
      <c r="C35" s="27" t="inlineStr">
        <is>
          <t>count</t>
        </is>
      </c>
      <c r="D35" s="27" t="inlineStr">
        <is>
          <t>0 means Pega lists none for this landscape.</t>
        </is>
      </c>
      <c r="E35" s="27" t="inlineStr">
        <is>
          <t>P2</t>
        </is>
      </c>
      <c r="F35" s="35">
        <f>IF(F6=0,0,IFERROR(INDEX(PS_N,MATCH(F30&amp;"|Master|"&amp;F11,PS_KEY,0)),0))</f>
        <v/>
      </c>
      <c r="G35" s="35">
        <f>IF(G6=0,0,IFERROR(INDEX(PS_N,MATCH(G30&amp;"|Master|"&amp;G11,PS_KEY,0)),0))</f>
        <v/>
      </c>
      <c r="H35" s="35">
        <f>IF(H6=0,0,IFERROR(INDEX(PS_N,MATCH(H30&amp;"|Master|"&amp;H11,PS_KEY,0)),0))</f>
        <v/>
      </c>
      <c r="I35" s="35">
        <f>IF(I6=0,0,IFERROR(INDEX(PS_N,MATCH(I30&amp;"|Master|"&amp;I11,PS_KEY,0)),0))</f>
        <v/>
      </c>
      <c r="J35" s="35">
        <f>IF(J6=0,0,IFERROR(INDEX(PS_N,MATCH(J30&amp;"|Master|"&amp;J11,PS_KEY,0)),0))</f>
        <v/>
      </c>
      <c r="K35" s="35">
        <f>IF(K6=0,0,IFERROR(INDEX(PS_N,MATCH(K30&amp;"|Master|"&amp;K11,PS_KEY,0)),0))</f>
        <v/>
      </c>
    </row>
    <row r="36" ht="15.5" customHeight="1">
      <c r="A36" s="27" t="inlineStr">
        <is>
          <t>S.28</t>
        </is>
      </c>
      <c r="B36" s="26" t="inlineStr">
        <is>
          <t>Cluster manager CPU</t>
        </is>
      </c>
      <c r="C36" s="27" t="inlineStr">
        <is>
          <t>vCPU</t>
        </is>
      </c>
      <c r="D36" s="27" t="inlineStr">
        <is>
          <t>Production row size, used whenever managers are needed.</t>
        </is>
      </c>
      <c r="E36" s="27" t="inlineStr">
        <is>
          <t>P2</t>
        </is>
      </c>
      <c r="F36" s="35">
        <f>IF(F6=0,0,IFERROR(INDEX(PS_CPU,MATCH(F30&amp;"|Master|"&amp;"Prod",PS_KEY,0)),0))</f>
        <v/>
      </c>
      <c r="G36" s="35">
        <f>IF(G6=0,0,IFERROR(INDEX(PS_CPU,MATCH(G30&amp;"|Master|"&amp;"Prod",PS_KEY,0)),0))</f>
        <v/>
      </c>
      <c r="H36" s="35">
        <f>IF(H6=0,0,IFERROR(INDEX(PS_CPU,MATCH(H30&amp;"|Master|"&amp;"Prod",PS_KEY,0)),0))</f>
        <v/>
      </c>
      <c r="I36" s="35">
        <f>IF(I6=0,0,IFERROR(INDEX(PS_CPU,MATCH(I30&amp;"|Master|"&amp;"Prod",PS_KEY,0)),0))</f>
        <v/>
      </c>
      <c r="J36" s="35">
        <f>IF(J6=0,0,IFERROR(INDEX(PS_CPU,MATCH(J30&amp;"|Master|"&amp;"Prod",PS_KEY,0)),0))</f>
        <v/>
      </c>
      <c r="K36" s="35">
        <f>IF(K6=0,0,IFERROR(INDEX(PS_CPU,MATCH(K30&amp;"|Master|"&amp;"Prod",PS_KEY,0)),0))</f>
        <v/>
      </c>
    </row>
    <row r="37" ht="15.5" customHeight="1">
      <c r="A37" s="27" t="inlineStr">
        <is>
          <t>S.29</t>
        </is>
      </c>
      <c r="B37" s="26" t="inlineStr">
        <is>
          <t>Cluster manager RAM</t>
        </is>
      </c>
      <c r="C37" s="27" t="inlineStr">
        <is>
          <t>GB</t>
        </is>
      </c>
      <c r="D37" s="27" t="inlineStr"/>
      <c r="E37" s="27" t="inlineStr">
        <is>
          <t>P2</t>
        </is>
      </c>
      <c r="F37" s="35">
        <f>IF(F6=0,0,IFERROR(INDEX(PS_RAM,MATCH(F30&amp;"|Master|"&amp;"Prod",PS_KEY,0)),0))</f>
        <v/>
      </c>
      <c r="G37" s="35">
        <f>IF(G6=0,0,IFERROR(INDEX(PS_RAM,MATCH(G30&amp;"|Master|"&amp;"Prod",PS_KEY,0)),0))</f>
        <v/>
      </c>
      <c r="H37" s="35">
        <f>IF(H6=0,0,IFERROR(INDEX(PS_RAM,MATCH(H30&amp;"|Master|"&amp;"Prod",PS_KEY,0)),0))</f>
        <v/>
      </c>
      <c r="I37" s="35">
        <f>IF(I6=0,0,IFERROR(INDEX(PS_RAM,MATCH(I30&amp;"|Master|"&amp;"Prod",PS_KEY,0)),0))</f>
        <v/>
      </c>
      <c r="J37" s="35">
        <f>IF(J6=0,0,IFERROR(INDEX(PS_RAM,MATCH(J30&amp;"|Master|"&amp;"Prod",PS_KEY,0)),0))</f>
        <v/>
      </c>
      <c r="K37" s="35">
        <f>IF(K6=0,0,IFERROR(INDEX(PS_RAM,MATCH(K30&amp;"|Master|"&amp;"Prod",PS_KEY,0)),0))</f>
        <v/>
      </c>
    </row>
    <row r="38" ht="15.5" customHeight="1">
      <c r="A38" s="27" t="inlineStr">
        <is>
          <t>S.30</t>
        </is>
      </c>
      <c r="B38" s="26" t="inlineStr">
        <is>
          <t>Pega SRS pods</t>
        </is>
      </c>
      <c r="C38" s="27" t="inlineStr">
        <is>
          <t>count</t>
        </is>
      </c>
      <c r="D38" s="27" t="inlineStr">
        <is>
          <t>SRS runs on AKS, not at the search provider.</t>
        </is>
      </c>
      <c r="E38" s="27" t="inlineStr">
        <is>
          <t>P2</t>
        </is>
      </c>
      <c r="F38" s="35">
        <f>IF(F6=0,0,IFERROR(INDEX(PS_N,MATCH(F30&amp;"|SRS|"&amp;F11,PS_KEY,0)),0))</f>
        <v/>
      </c>
      <c r="G38" s="35">
        <f>IF(G6=0,0,IFERROR(INDEX(PS_N,MATCH(G30&amp;"|SRS|"&amp;G11,PS_KEY,0)),0))</f>
        <v/>
      </c>
      <c r="H38" s="35">
        <f>IF(H6=0,0,IFERROR(INDEX(PS_N,MATCH(H30&amp;"|SRS|"&amp;H11,PS_KEY,0)),0))</f>
        <v/>
      </c>
      <c r="I38" s="35">
        <f>IF(I6=0,0,IFERROR(INDEX(PS_N,MATCH(I30&amp;"|SRS|"&amp;I11,PS_KEY,0)),0))</f>
        <v/>
      </c>
      <c r="J38" s="35">
        <f>IF(J6=0,0,IFERROR(INDEX(PS_N,MATCH(J30&amp;"|SRS|"&amp;J11,PS_KEY,0)),0))</f>
        <v/>
      </c>
      <c r="K38" s="35">
        <f>IF(K6=0,0,IFERROR(INDEX(PS_N,MATCH(K30&amp;"|SRS|"&amp;K11,PS_KEY,0)),0))</f>
        <v/>
      </c>
    </row>
    <row r="39" ht="16" customHeight="1">
      <c r="A39" s="31" t="inlineStr">
        <is>
          <t>E. Data node size used</t>
        </is>
      </c>
      <c r="B39" s="32" t="n"/>
      <c r="C39" s="32" t="n"/>
      <c r="D39" s="32" t="n"/>
      <c r="E39" s="32" t="n"/>
      <c r="F39" s="32" t="n"/>
      <c r="G39" s="32" t="n"/>
      <c r="H39" s="32" t="n"/>
      <c r="I39" s="32" t="n"/>
      <c r="J39" s="32" t="n"/>
      <c r="K39" s="32" t="n"/>
    </row>
    <row r="40" ht="15.5" customHeight="1">
      <c r="A40" s="27" t="inlineStr">
        <is>
          <t>S.31</t>
        </is>
      </c>
      <c r="B40" s="26" t="inlineStr">
        <is>
          <t>Data node vCPU</t>
        </is>
      </c>
      <c r="C40" s="27" t="inlineStr">
        <is>
          <t>vCPU</t>
        </is>
      </c>
      <c r="D40" s="27" t="inlineStr">
        <is>
          <t>Override if set, otherwise the Pega profile.</t>
        </is>
      </c>
      <c r="E40" s="27" t="inlineStr">
        <is>
          <t>P2</t>
        </is>
      </c>
      <c r="F40" s="46">
        <f>IF('4 Search Services'!F18&lt;&gt;"",'4 Search Services'!F18,F32)</f>
        <v/>
      </c>
      <c r="G40" s="46">
        <f>IF('4 Search Services'!G18&lt;&gt;"",'4 Search Services'!G18,G32)</f>
        <v/>
      </c>
      <c r="H40" s="46">
        <f>IF('4 Search Services'!H18&lt;&gt;"",'4 Search Services'!H18,H32)</f>
        <v/>
      </c>
      <c r="I40" s="46">
        <f>IF('4 Search Services'!I18&lt;&gt;"",'4 Search Services'!I18,I32)</f>
        <v/>
      </c>
      <c r="J40" s="46">
        <f>IF('4 Search Services'!J18&lt;&gt;"",'4 Search Services'!J18,J32)</f>
        <v/>
      </c>
      <c r="K40" s="46">
        <f>IF('4 Search Services'!K18&lt;&gt;"",'4 Search Services'!K18,K32)</f>
        <v/>
      </c>
    </row>
    <row r="41" ht="15.5" customHeight="1">
      <c r="A41" s="27" t="inlineStr">
        <is>
          <t>S.32</t>
        </is>
      </c>
      <c r="B41" s="26" t="inlineStr">
        <is>
          <t>Data node RAM</t>
        </is>
      </c>
      <c r="C41" s="27" t="inlineStr">
        <is>
          <t>GB</t>
        </is>
      </c>
      <c r="D41" s="27" t="inlineStr">
        <is>
          <t>Override if set, otherwise the Pega profile.</t>
        </is>
      </c>
      <c r="E41" s="27" t="inlineStr">
        <is>
          <t>P2</t>
        </is>
      </c>
      <c r="F41" s="46">
        <f>IF('4 Search Services'!F19&lt;&gt;"",'4 Search Services'!F19,F33)</f>
        <v/>
      </c>
      <c r="G41" s="46">
        <f>IF('4 Search Services'!G19&lt;&gt;"",'4 Search Services'!G19,G33)</f>
        <v/>
      </c>
      <c r="H41" s="46">
        <f>IF('4 Search Services'!H19&lt;&gt;"",'4 Search Services'!H19,H33)</f>
        <v/>
      </c>
      <c r="I41" s="46">
        <f>IF('4 Search Services'!I19&lt;&gt;"",'4 Search Services'!I19,I33)</f>
        <v/>
      </c>
      <c r="J41" s="46">
        <f>IF('4 Search Services'!J19&lt;&gt;"",'4 Search Services'!J19,J33)</f>
        <v/>
      </c>
      <c r="K41" s="46">
        <f>IF('4 Search Services'!K19&lt;&gt;"",'4 Search Services'!K19,K33)</f>
        <v/>
      </c>
    </row>
    <row r="42" ht="15.5" customHeight="1">
      <c r="A42" s="27" t="inlineStr">
        <is>
          <t>S.33</t>
        </is>
      </c>
      <c r="B42" s="26" t="inlineStr">
        <is>
          <t>Data node disk</t>
        </is>
      </c>
      <c r="C42" s="27" t="inlineStr">
        <is>
          <t>GB</t>
        </is>
      </c>
      <c r="D42" s="27" t="inlineStr">
        <is>
          <t>Override if set, otherwise the Pega profile.</t>
        </is>
      </c>
      <c r="E42" s="27" t="inlineStr">
        <is>
          <t>P2</t>
        </is>
      </c>
      <c r="F42" s="47">
        <f>IF('4 Search Services'!F20&lt;&gt;"",'4 Search Services'!F20,F34)</f>
        <v/>
      </c>
      <c r="G42" s="47">
        <f>IF('4 Search Services'!G20&lt;&gt;"",'4 Search Services'!G20,G34)</f>
        <v/>
      </c>
      <c r="H42" s="47">
        <f>IF('4 Search Services'!H20&lt;&gt;"",'4 Search Services'!H20,H34)</f>
        <v/>
      </c>
      <c r="I42" s="47">
        <f>IF('4 Search Services'!I20&lt;&gt;"",'4 Search Services'!I20,I34)</f>
        <v/>
      </c>
      <c r="J42" s="47">
        <f>IF('4 Search Services'!J20&lt;&gt;"",'4 Search Services'!J20,J34)</f>
        <v/>
      </c>
      <c r="K42" s="47">
        <f>IF('4 Search Services'!K20&lt;&gt;"",'4 Search Services'!K20,K34)</f>
        <v/>
      </c>
    </row>
    <row r="43" ht="15.5" customHeight="1">
      <c r="A43" s="27" t="inlineStr">
        <is>
          <t>S.34</t>
        </is>
      </c>
      <c r="B43" s="26" t="inlineStr">
        <is>
          <t>Java heap per data node</t>
        </is>
      </c>
      <c r="C43" s="27" t="inlineStr">
        <is>
          <t>GB</t>
        </is>
      </c>
      <c r="D43" s="27" t="inlineStr">
        <is>
          <t>Half of RAM.</t>
        </is>
      </c>
      <c r="E43" s="27" t="inlineStr">
        <is>
          <t>O4</t>
        </is>
      </c>
      <c r="F43" s="50">
        <f>F41*O_HEAP</f>
        <v/>
      </c>
      <c r="G43" s="50">
        <f>G41*O_HEAP</f>
        <v/>
      </c>
      <c r="H43" s="50">
        <f>H41*O_HEAP</f>
        <v/>
      </c>
      <c r="I43" s="50">
        <f>I41*O_HEAP</f>
        <v/>
      </c>
      <c r="J43" s="50">
        <f>J41*O_HEAP</f>
        <v/>
      </c>
      <c r="K43" s="50">
        <f>K41*O_HEAP</f>
        <v/>
      </c>
    </row>
    <row r="44" ht="16" customHeight="1">
      <c r="A44" s="31" t="inlineStr">
        <is>
          <t>F. Storage and shards</t>
        </is>
      </c>
      <c r="B44" s="32" t="n"/>
      <c r="C44" s="32" t="n"/>
      <c r="D44" s="32" t="n"/>
      <c r="E44" s="32" t="n"/>
      <c r="F44" s="32" t="n"/>
      <c r="G44" s="32" t="n"/>
      <c r="H44" s="32" t="n"/>
      <c r="I44" s="32" t="n"/>
      <c r="J44" s="32" t="n"/>
      <c r="K44" s="32" t="n"/>
    </row>
    <row r="45" ht="15.5" customHeight="1">
      <c r="A45" s="27" t="inlineStr">
        <is>
          <t>S.35</t>
        </is>
      </c>
      <c r="B45" s="26" t="inlineStr">
        <is>
          <t>Source data to hold</t>
        </is>
      </c>
      <c r="C45" s="27" t="inlineStr">
        <is>
          <t>GB</t>
        </is>
      </c>
      <c r="D45" s="27" t="inlineStr">
        <is>
          <t>Searchable data at end of period + temporary extra data.</t>
        </is>
      </c>
      <c r="E45" s="27" t="inlineStr">
        <is>
          <t>-</t>
        </is>
      </c>
      <c r="F45" s="43">
        <f>F14+F15</f>
        <v/>
      </c>
      <c r="G45" s="43">
        <f>G14+G15</f>
        <v/>
      </c>
      <c r="H45" s="43">
        <f>H14+H15</f>
        <v/>
      </c>
      <c r="I45" s="43">
        <f>I14+I15</f>
        <v/>
      </c>
      <c r="J45" s="43">
        <f>J14+J15</f>
        <v/>
      </c>
      <c r="K45" s="43">
        <f>K14+K15</f>
        <v/>
      </c>
    </row>
    <row r="46" ht="29" customHeight="1">
      <c r="A46" s="27" t="inlineStr">
        <is>
          <t>S.36</t>
        </is>
      </c>
      <c r="B46" s="26" t="inlineStr">
        <is>
          <t>Minimum storage</t>
        </is>
      </c>
      <c r="C46" s="27" t="inlineStr">
        <is>
          <t>GB</t>
        </is>
      </c>
      <c r="D46" s="27" t="inlineStr">
        <is>
          <t>Source x (1 + replicas) x (1 + indexing overhead) / (1 - OS reserve) / (1 - provider overhead).</t>
        </is>
      </c>
      <c r="E46" s="27" t="inlineStr">
        <is>
          <t>A1</t>
        </is>
      </c>
      <c r="F46" s="47">
        <f>F45*(1+F24)*(1+F27)/(1-F26)/(1-F25)</f>
        <v/>
      </c>
      <c r="G46" s="47">
        <f>G45*(1+G24)*(1+G27)/(1-G26)/(1-G25)</f>
        <v/>
      </c>
      <c r="H46" s="47">
        <f>H45*(1+H24)*(1+H27)/(1-H26)/(1-H25)</f>
        <v/>
      </c>
      <c r="I46" s="47">
        <f>I45*(1+I24)*(1+I27)/(1-I26)/(1-I25)</f>
        <v/>
      </c>
      <c r="J46" s="47">
        <f>J45*(1+J24)*(1+J27)/(1-J26)/(1-J25)</f>
        <v/>
      </c>
      <c r="K46" s="47">
        <f>K45*(1+K24)*(1+K27)/(1-K26)/(1-K25)</f>
        <v/>
      </c>
    </row>
    <row r="47" ht="15.5" customHeight="1">
      <c r="A47" s="27" t="inlineStr">
        <is>
          <t>S.37</t>
        </is>
      </c>
      <c r="B47" s="26" t="inlineStr">
        <is>
          <t>Cross-check: simplified formula</t>
        </is>
      </c>
      <c r="C47" s="27" t="inlineStr">
        <is>
          <t>GB</t>
        </is>
      </c>
      <c r="D47" s="27" t="inlineStr">
        <is>
          <t>Source x (1 + replicas) x 1.45.</t>
        </is>
      </c>
      <c r="E47" s="27" t="inlineStr">
        <is>
          <t>A1</t>
        </is>
      </c>
      <c r="F47" s="38">
        <f>F45*(1+F24)*A_SIMPLE</f>
        <v/>
      </c>
      <c r="G47" s="38">
        <f>G45*(1+G24)*A_SIMPLE</f>
        <v/>
      </c>
      <c r="H47" s="38">
        <f>H45*(1+H24)*A_SIMPLE</f>
        <v/>
      </c>
      <c r="I47" s="38">
        <f>I45*(1+I24)*A_SIMPLE</f>
        <v/>
      </c>
      <c r="J47" s="38">
        <f>J45*(1+J24)*A_SIMPLE</f>
        <v/>
      </c>
      <c r="K47" s="38">
        <f>K45*(1+K24)*A_SIMPLE</f>
        <v/>
      </c>
    </row>
    <row r="48" ht="15.5" customHeight="1">
      <c r="A48" s="27" t="inlineStr">
        <is>
          <t>S.38</t>
        </is>
      </c>
      <c r="B48" s="26" t="inlineStr">
        <is>
          <t>Total shards</t>
        </is>
      </c>
      <c r="C48" s="27" t="inlineStr">
        <is>
          <t>count</t>
        </is>
      </c>
      <c r="D48" s="27" t="inlineStr">
        <is>
          <t>Primary shards x (1 + replicas).</t>
        </is>
      </c>
      <c r="E48" s="27" t="inlineStr">
        <is>
          <t>O2</t>
        </is>
      </c>
      <c r="F48" s="38">
        <f>F18*(1+F24)</f>
        <v/>
      </c>
      <c r="G48" s="38">
        <f>G18*(1+G24)</f>
        <v/>
      </c>
      <c r="H48" s="38">
        <f>H18*(1+H24)</f>
        <v/>
      </c>
      <c r="I48" s="38">
        <f>I18*(1+I24)</f>
        <v/>
      </c>
      <c r="J48" s="38">
        <f>J18*(1+J24)</f>
        <v/>
      </c>
      <c r="K48" s="38">
        <f>K18*(1+K24)</f>
        <v/>
      </c>
    </row>
    <row r="49" ht="16" customHeight="1">
      <c r="A49" s="31" t="inlineStr">
        <is>
          <t>G. Data node count: the largest of the rules below</t>
        </is>
      </c>
      <c r="B49" s="32" t="n"/>
      <c r="C49" s="32" t="n"/>
      <c r="D49" s="32" t="n"/>
      <c r="E49" s="32" t="n"/>
      <c r="F49" s="32" t="n"/>
      <c r="G49" s="32" t="n"/>
      <c r="H49" s="32" t="n"/>
      <c r="I49" s="32" t="n"/>
      <c r="J49" s="32" t="n"/>
      <c r="K49" s="32" t="n"/>
    </row>
    <row r="50" ht="15.5" customHeight="1">
      <c r="A50" s="27" t="inlineStr">
        <is>
          <t>S.39</t>
        </is>
      </c>
      <c r="B50" s="26" t="inlineStr">
        <is>
          <t>By Pega profile and HA rule</t>
        </is>
      </c>
      <c r="C50" s="27" t="inlineStr">
        <is>
          <t>nodes</t>
        </is>
      </c>
      <c r="D50" s="27" t="inlineStr">
        <is>
          <t>Pega table count; at least 3 when high availability is required.</t>
        </is>
      </c>
      <c r="E50" s="27" t="inlineStr">
        <is>
          <t>P2</t>
        </is>
      </c>
      <c r="F50" s="35">
        <f>IF(F6=0,0,IF(F22="Yes",MAX(F31,P_SEARCH_HA),F31))</f>
        <v/>
      </c>
      <c r="G50" s="35">
        <f>IF(G6=0,0,IF(G22="Yes",MAX(G31,P_SEARCH_HA),G31))</f>
        <v/>
      </c>
      <c r="H50" s="35">
        <f>IF(H6=0,0,IF(H22="Yes",MAX(H31,P_SEARCH_HA),H31))</f>
        <v/>
      </c>
      <c r="I50" s="35">
        <f>IF(I6=0,0,IF(I22="Yes",MAX(I31,P_SEARCH_HA),I31))</f>
        <v/>
      </c>
      <c r="J50" s="35">
        <f>IF(J6=0,0,IF(J22="Yes",MAX(J31,P_SEARCH_HA),J31))</f>
        <v/>
      </c>
      <c r="K50" s="35">
        <f>IF(K6=0,0,IF(K22="Yes",MAX(K31,P_SEARCH_HA),K31))</f>
        <v/>
      </c>
    </row>
    <row r="51" ht="42.5" customHeight="1">
      <c r="A51" s="27" t="inlineStr">
        <is>
          <t>S.40</t>
        </is>
      </c>
      <c r="B51" s="26" t="inlineStr">
        <is>
          <t>By storage</t>
        </is>
      </c>
      <c r="C51" s="27" t="inlineStr">
        <is>
          <t>nodes</t>
        </is>
      </c>
      <c r="D51" s="27" t="inlineStr">
        <is>
          <t>Minimum storage / (data node disk x 85 % low watermark), rounded up, so that data stays below the point where OpenSearch stops allocating shards to a node.</t>
        </is>
      </c>
      <c r="E51" s="27" t="inlineStr">
        <is>
          <t>A1, O3</t>
        </is>
      </c>
      <c r="F51" s="35">
        <f>IF(OR(F6=0,F42=0),0,ROUNDUP(F46/(F42*O_WM_LOW),0))</f>
        <v/>
      </c>
      <c r="G51" s="35">
        <f>IF(OR(G6=0,G42=0),0,ROUNDUP(G46/(G42*O_WM_LOW),0))</f>
        <v/>
      </c>
      <c r="H51" s="35">
        <f>IF(OR(H6=0,H42=0),0,ROUNDUP(H46/(H42*O_WM_LOW),0))</f>
        <v/>
      </c>
      <c r="I51" s="35">
        <f>IF(OR(I6=0,I42=0),0,ROUNDUP(I46/(I42*O_WM_LOW),0))</f>
        <v/>
      </c>
      <c r="J51" s="35">
        <f>IF(OR(J6=0,J42=0),0,ROUNDUP(J46/(J42*O_WM_LOW),0))</f>
        <v/>
      </c>
      <c r="K51" s="35">
        <f>IF(OR(K6=0,K42=0),0,ROUNDUP(K46/(K42*O_WM_LOW),0))</f>
        <v/>
      </c>
    </row>
    <row r="52" ht="15.5" customHeight="1">
      <c r="A52" s="27" t="inlineStr">
        <is>
          <t>S.41</t>
        </is>
      </c>
      <c r="B52" s="26" t="inlineStr">
        <is>
          <t>By shards per node</t>
        </is>
      </c>
      <c r="C52" s="27" t="inlineStr">
        <is>
          <t>nodes</t>
        </is>
      </c>
      <c r="D52" s="27" t="inlineStr">
        <is>
          <t>Total shards / 1,000, rounded up.</t>
        </is>
      </c>
      <c r="E52" s="27" t="inlineStr">
        <is>
          <t>O3</t>
        </is>
      </c>
      <c r="F52" s="35">
        <f>ROUNDUP(F48/O_SHARDS_NODE,0)</f>
        <v/>
      </c>
      <c r="G52" s="35">
        <f>ROUNDUP(G48/O_SHARDS_NODE,0)</f>
        <v/>
      </c>
      <c r="H52" s="35">
        <f>ROUNDUP(H48/O_SHARDS_NODE,0)</f>
        <v/>
      </c>
      <c r="I52" s="35">
        <f>ROUNDUP(I48/O_SHARDS_NODE,0)</f>
        <v/>
      </c>
      <c r="J52" s="35">
        <f>ROUNDUP(J48/O_SHARDS_NODE,0)</f>
        <v/>
      </c>
      <c r="K52" s="35">
        <f>ROUNDUP(K48/O_SHARDS_NODE,0)</f>
        <v/>
      </c>
    </row>
    <row r="53" ht="15.5" customHeight="1">
      <c r="A53" s="27" t="inlineStr">
        <is>
          <t>S.42</t>
        </is>
      </c>
      <c r="B53" s="26" t="inlineStr">
        <is>
          <t>By shards per GiB of heap</t>
        </is>
      </c>
      <c r="C53" s="27" t="inlineStr">
        <is>
          <t>nodes</t>
        </is>
      </c>
      <c r="D53" s="27" t="inlineStr">
        <is>
          <t>Total shards / (25 x heap), rounded up.</t>
        </is>
      </c>
      <c r="E53" s="27" t="inlineStr">
        <is>
          <t>A2</t>
        </is>
      </c>
      <c r="F53" s="35">
        <f>IF(F43=0,0,ROUNDUP(F48/(A_SHARDS_HEAP*F43),0))</f>
        <v/>
      </c>
      <c r="G53" s="35">
        <f>IF(G43=0,0,ROUNDUP(G48/(A_SHARDS_HEAP*G43),0))</f>
        <v/>
      </c>
      <c r="H53" s="35">
        <f>IF(H43=0,0,ROUNDUP(H48/(A_SHARDS_HEAP*H43),0))</f>
        <v/>
      </c>
      <c r="I53" s="35">
        <f>IF(I43=0,0,ROUNDUP(I48/(A_SHARDS_HEAP*I43),0))</f>
        <v/>
      </c>
      <c r="J53" s="35">
        <f>IF(J43=0,0,ROUNDUP(J48/(A_SHARDS_HEAP*J43),0))</f>
        <v/>
      </c>
      <c r="K53" s="35">
        <f>IF(K43=0,0,ROUNDUP(K48/(A_SHARDS_HEAP*K43),0))</f>
        <v/>
      </c>
    </row>
    <row r="54" ht="29" customHeight="1">
      <c r="A54" s="27" t="inlineStr">
        <is>
          <t>S.43</t>
        </is>
      </c>
      <c r="B54" s="26" t="inlineStr">
        <is>
          <t>By replica placement</t>
        </is>
      </c>
      <c r="C54" s="27" t="inlineStr">
        <is>
          <t>nodes</t>
        </is>
      </c>
      <c r="D54" s="27" t="inlineStr">
        <is>
          <t>Replicas go on different nodes from their primary, so replicas + 1 nodes are needed for a green cluster.</t>
        </is>
      </c>
      <c r="E54" s="27" t="inlineStr">
        <is>
          <t>O5, O6</t>
        </is>
      </c>
      <c r="F54" s="35">
        <f>IF(F6=0,0,F24+1)</f>
        <v/>
      </c>
      <c r="G54" s="35">
        <f>IF(G6=0,0,G24+1)</f>
        <v/>
      </c>
      <c r="H54" s="35">
        <f>IF(H6=0,0,H24+1)</f>
        <v/>
      </c>
      <c r="I54" s="35">
        <f>IF(I6=0,0,I24+1)</f>
        <v/>
      </c>
      <c r="J54" s="35">
        <f>IF(J6=0,0,J24+1)</f>
        <v/>
      </c>
      <c r="K54" s="35">
        <f>IF(K6=0,0,K24+1)</f>
        <v/>
      </c>
    </row>
    <row r="55" ht="15.5" customHeight="1">
      <c r="A55" s="27" t="inlineStr">
        <is>
          <t>S.44</t>
        </is>
      </c>
      <c r="B55" s="26" t="inlineStr">
        <is>
          <t>Largest of the rules</t>
        </is>
      </c>
      <c r="C55" s="27" t="inlineStr">
        <is>
          <t>nodes</t>
        </is>
      </c>
      <c r="D55" s="27" t="inlineStr"/>
      <c r="E55" s="27" t="inlineStr">
        <is>
          <t>-</t>
        </is>
      </c>
      <c r="F55" s="35">
        <f>MAX(F50,F51,F52,F53,F54)</f>
        <v/>
      </c>
      <c r="G55" s="35">
        <f>MAX(G50,G51,G52,G53,G54)</f>
        <v/>
      </c>
      <c r="H55" s="35">
        <f>MAX(H50,H51,H52,H53,H54)</f>
        <v/>
      </c>
      <c r="I55" s="35">
        <f>MAX(I50,I51,I52,I53,I54)</f>
        <v/>
      </c>
      <c r="J55" s="35">
        <f>MAX(J50,J51,J52,J53,J54)</f>
        <v/>
      </c>
      <c r="K55" s="35">
        <f>MAX(K50,K51,K52,K53,K54)</f>
        <v/>
      </c>
    </row>
    <row r="56" ht="29" customHeight="1">
      <c r="A56" s="27" t="inlineStr">
        <is>
          <t>S.45</t>
        </is>
      </c>
      <c r="B56" s="26" t="inlineStr">
        <is>
          <t>Recommended data nodes</t>
        </is>
      </c>
      <c r="C56" s="27" t="inlineStr">
        <is>
          <t>nodes</t>
        </is>
      </c>
      <c r="D56" s="27" t="inlineStr">
        <is>
          <t>With high availability and more than one zone, rounded up to a multiple of the zone count.</t>
        </is>
      </c>
      <c r="E56" s="27" t="inlineStr">
        <is>
          <t>O1</t>
        </is>
      </c>
      <c r="F56" s="46">
        <f>IF(F6=0,0,IF(AND(F22="Yes",F23&gt;1),ROUNDUP(F55/F23,0)*F23,F55))</f>
        <v/>
      </c>
      <c r="G56" s="46">
        <f>IF(G6=0,0,IF(AND(G22="Yes",G23&gt;1),ROUNDUP(G55/G23,0)*G23,G55))</f>
        <v/>
      </c>
      <c r="H56" s="46">
        <f>IF(H6=0,0,IF(AND(H22="Yes",H23&gt;1),ROUNDUP(H55/H23,0)*H23,H55))</f>
        <v/>
      </c>
      <c r="I56" s="46">
        <f>IF(I6=0,0,IF(AND(I22="Yes",I23&gt;1),ROUNDUP(I55/I23,0)*I23,I55))</f>
        <v/>
      </c>
      <c r="J56" s="46">
        <f>IF(J6=0,0,IF(AND(J22="Yes",J23&gt;1),ROUNDUP(J55/J23,0)*J23,J55))</f>
        <v/>
      </c>
      <c r="K56" s="46">
        <f>IF(K6=0,0,IF(AND(K22="Yes",K23&gt;1),ROUNDUP(K55/K23,0)*K23,K55))</f>
        <v/>
      </c>
    </row>
    <row r="57" ht="15.5" customHeight="1">
      <c r="A57" s="27" t="inlineStr">
        <is>
          <t>S.46</t>
        </is>
      </c>
      <c r="B57" s="26" t="inlineStr">
        <is>
          <t>Rule that sets the count</t>
        </is>
      </c>
      <c r="C57" s="27" t="inlineStr">
        <is>
          <t>text</t>
        </is>
      </c>
      <c r="D57" s="27" t="inlineStr">
        <is>
          <t>First rule, in the order above, equal to the largest.</t>
        </is>
      </c>
      <c r="E57" s="27" t="inlineStr">
        <is>
          <t>-</t>
        </is>
      </c>
      <c r="F57" s="12">
        <f>IF(F6=0,"-",IF(F55=F50,"Pega profile and HA rule",IF(F55=F51,"Storage",IF(F55=F52,"Shards per node",IF(F55=F53,"Shards per GiB of heap","Replica placement")))))</f>
        <v/>
      </c>
      <c r="G57" s="12">
        <f>IF(G6=0,"-",IF(G55=G50,"Pega profile and HA rule",IF(G55=G51,"Storage",IF(G55=G52,"Shards per node",IF(G55=G53,"Shards per GiB of heap","Replica placement")))))</f>
        <v/>
      </c>
      <c r="H57" s="12">
        <f>IF(H6=0,"-",IF(H55=H50,"Pega profile and HA rule",IF(H55=H51,"Storage",IF(H55=H52,"Shards per node",IF(H55=H53,"Shards per GiB of heap","Replica placement")))))</f>
        <v/>
      </c>
      <c r="I57" s="12">
        <f>IF(I6=0,"-",IF(I55=I50,"Pega profile and HA rule",IF(I55=I51,"Storage",IF(I55=I52,"Shards per node",IF(I55=I53,"Shards per GiB of heap","Replica placement")))))</f>
        <v/>
      </c>
      <c r="J57" s="12">
        <f>IF(J6=0,"-",IF(J55=J50,"Pega profile and HA rule",IF(J55=J51,"Storage",IF(J55=J52,"Shards per node",IF(J55=J53,"Shards per GiB of heap","Replica placement")))))</f>
        <v/>
      </c>
      <c r="K57" s="12">
        <f>IF(K6=0,"-",IF(K55=K50,"Pega profile and HA rule",IF(K55=K51,"Storage",IF(K55=K52,"Shards per node",IF(K55=K53,"Shards per GiB of heap","Replica placement")))))</f>
        <v/>
      </c>
    </row>
    <row r="58" ht="29" customHeight="1">
      <c r="A58" s="27" t="inlineStr">
        <is>
          <t>S.47</t>
        </is>
      </c>
      <c r="B58" s="26" t="inlineStr">
        <is>
          <t>Data nodes the other rules give</t>
        </is>
      </c>
      <c r="C58" s="27" t="inlineStr">
        <is>
          <t>nodes</t>
        </is>
      </c>
      <c r="D58" s="27" t="inlineStr">
        <is>
          <t>Shown when storage sets the count: the count without the storage rule, rounded to the zones as above.</t>
        </is>
      </c>
      <c r="E58" s="27" t="inlineStr">
        <is>
          <t>-</t>
        </is>
      </c>
      <c r="F58" s="35">
        <f>IF(OR(F6=0,F57&lt;&gt;"Storage"),0,IF(AND(F22="Yes",F23&gt;1),ROUNDUP(MAX(F50,F52,F53,F54)/F23,0)*F23,MAX(F50,F52,F53,F54)))</f>
        <v/>
      </c>
      <c r="G58" s="35">
        <f>IF(OR(G6=0,G57&lt;&gt;"Storage"),0,IF(AND(G22="Yes",G23&gt;1),ROUNDUP(MAX(G50,G52,G53,G54)/G23,0)*G23,MAX(G50,G52,G53,G54)))</f>
        <v/>
      </c>
      <c r="H58" s="35">
        <f>IF(OR(H6=0,H57&lt;&gt;"Storage"),0,IF(AND(H22="Yes",H23&gt;1),ROUNDUP(MAX(H50,H52,H53,H54)/H23,0)*H23,MAX(H50,H52,H53,H54)))</f>
        <v/>
      </c>
      <c r="I58" s="35">
        <f>IF(OR(I6=0,I57&lt;&gt;"Storage"),0,IF(AND(I22="Yes",I23&gt;1),ROUNDUP(MAX(I50,I52,I53,I54)/I23,0)*I23,MAX(I50,I52,I53,I54)))</f>
        <v/>
      </c>
      <c r="J58" s="35">
        <f>IF(OR(J6=0,J57&lt;&gt;"Storage"),0,IF(AND(J22="Yes",J23&gt;1),ROUNDUP(MAX(J50,J52,J53,J54)/J23,0)*J23,MAX(J50,J52,J53,J54)))</f>
        <v/>
      </c>
      <c r="K58" s="35">
        <f>IF(OR(K6=0,K57&lt;&gt;"Storage"),0,IF(AND(K22="Yes",K23&gt;1),ROUNDUP(MAX(K50,K52,K53,K54)/K23,0)*K23,MAX(K50,K52,K53,K54)))</f>
        <v/>
      </c>
    </row>
    <row r="59" ht="42.5" customHeight="1">
      <c r="A59" s="27" t="inlineStr">
        <is>
          <t>S.48</t>
        </is>
      </c>
      <c r="B59" s="26" t="inlineStr">
        <is>
          <t>Disk per node to hold the data at that count</t>
        </is>
      </c>
      <c r="C59" s="27" t="inlineStr">
        <is>
          <t>GB</t>
        </is>
      </c>
      <c r="D59" s="27" t="inlineStr">
        <is>
          <t>Alternative to more nodes: minimum storage / (that count x 85 % low watermark), rounded up. Confirm the provider offers this disk size.</t>
        </is>
      </c>
      <c r="E59" s="27" t="inlineStr">
        <is>
          <t>A1, O3</t>
        </is>
      </c>
      <c r="F59" s="38">
        <f>IF(F58=0,0,ROUNDUP(F46/(F58*O_WM_LOW),0))</f>
        <v/>
      </c>
      <c r="G59" s="38">
        <f>IF(G58=0,0,ROUNDUP(G46/(G58*O_WM_LOW),0))</f>
        <v/>
      </c>
      <c r="H59" s="38">
        <f>IF(H58=0,0,ROUNDUP(H46/(H58*O_WM_LOW),0))</f>
        <v/>
      </c>
      <c r="I59" s="38">
        <f>IF(I58=0,0,ROUNDUP(I46/(I58*O_WM_LOW),0))</f>
        <v/>
      </c>
      <c r="J59" s="38">
        <f>IF(J58=0,0,ROUNDUP(J46/(J58*O_WM_LOW),0))</f>
        <v/>
      </c>
      <c r="K59" s="38">
        <f>IF(K58=0,0,ROUNDUP(K46/(K58*O_WM_LOW),0))</f>
        <v/>
      </c>
    </row>
    <row r="60" ht="16" customHeight="1">
      <c r="A60" s="31" t="inlineStr">
        <is>
          <t>H. Cluster managers and SRS</t>
        </is>
      </c>
      <c r="B60" s="32" t="n"/>
      <c r="C60" s="32" t="n"/>
      <c r="D60" s="32" t="n"/>
      <c r="E60" s="32" t="n"/>
      <c r="F60" s="32" t="n"/>
      <c r="G60" s="32" t="n"/>
      <c r="H60" s="32" t="n"/>
      <c r="I60" s="32" t="n"/>
      <c r="J60" s="32" t="n"/>
      <c r="K60" s="32" t="n"/>
    </row>
    <row r="61" ht="29" customHeight="1">
      <c r="A61" s="27" t="inlineStr">
        <is>
          <t>S.49</t>
        </is>
      </c>
      <c r="B61" s="26" t="inlineStr">
        <is>
          <t>Recommended cluster manager nodes</t>
        </is>
      </c>
      <c r="C61" s="27" t="inlineStr">
        <is>
          <t>nodes</t>
        </is>
      </c>
      <c r="D61" s="27" t="inlineStr">
        <is>
          <t>3 for Production and Stage, or whenever high availability is required; otherwise Pega's test figure.</t>
        </is>
      </c>
      <c r="E61" s="27" t="inlineStr">
        <is>
          <t>P2, O1</t>
        </is>
      </c>
      <c r="F61" s="46">
        <f>IF(F6=0,0,IF(OR(F11="Prod",F22="Yes"),MAX(F35,O_MANAGERS),F35))</f>
        <v/>
      </c>
      <c r="G61" s="46">
        <f>IF(G6=0,0,IF(OR(G11="Prod",G22="Yes"),MAX(G35,O_MANAGERS),G35))</f>
        <v/>
      </c>
      <c r="H61" s="46">
        <f>IF(H6=0,0,IF(OR(H11="Prod",H22="Yes"),MAX(H35,O_MANAGERS),H35))</f>
        <v/>
      </c>
      <c r="I61" s="46">
        <f>IF(I6=0,0,IF(OR(I11="Prod",I22="Yes"),MAX(I35,O_MANAGERS),I35))</f>
        <v/>
      </c>
      <c r="J61" s="46">
        <f>IF(J6=0,0,IF(OR(J11="Prod",J22="Yes"),MAX(J35,O_MANAGERS),J35))</f>
        <v/>
      </c>
      <c r="K61" s="46">
        <f>IF(K6=0,0,IF(OR(K11="Prod",K22="Yes"),MAX(K35,O_MANAGERS),K35))</f>
        <v/>
      </c>
    </row>
    <row r="62" ht="15.5" customHeight="1">
      <c r="A62" s="27" t="inlineStr">
        <is>
          <t>S.50</t>
        </is>
      </c>
      <c r="B62" s="26" t="inlineStr">
        <is>
          <t>Cluster manager vCPU</t>
        </is>
      </c>
      <c r="C62" s="27" t="inlineStr">
        <is>
          <t>vCPU</t>
        </is>
      </c>
      <c r="D62" s="27" t="inlineStr"/>
      <c r="E62" s="27" t="inlineStr">
        <is>
          <t>P2</t>
        </is>
      </c>
      <c r="F62" s="46">
        <f>IF(F61=0,0,F36)</f>
        <v/>
      </c>
      <c r="G62" s="46">
        <f>IF(G61=0,0,G36)</f>
        <v/>
      </c>
      <c r="H62" s="46">
        <f>IF(H61=0,0,H36)</f>
        <v/>
      </c>
      <c r="I62" s="46">
        <f>IF(I61=0,0,I36)</f>
        <v/>
      </c>
      <c r="J62" s="46">
        <f>IF(J61=0,0,J36)</f>
        <v/>
      </c>
      <c r="K62" s="46">
        <f>IF(K61=0,0,K36)</f>
        <v/>
      </c>
    </row>
    <row r="63" ht="15.5" customHeight="1">
      <c r="A63" s="27" t="inlineStr">
        <is>
          <t>S.51</t>
        </is>
      </c>
      <c r="B63" s="26" t="inlineStr">
        <is>
          <t>Cluster manager RAM</t>
        </is>
      </c>
      <c r="C63" s="27" t="inlineStr">
        <is>
          <t>GB</t>
        </is>
      </c>
      <c r="D63" s="27" t="inlineStr"/>
      <c r="E63" s="27" t="inlineStr">
        <is>
          <t>P2</t>
        </is>
      </c>
      <c r="F63" s="46">
        <f>IF(F61=0,0,F37)</f>
        <v/>
      </c>
      <c r="G63" s="46">
        <f>IF(G61=0,0,G37)</f>
        <v/>
      </c>
      <c r="H63" s="46">
        <f>IF(H61=0,0,H37)</f>
        <v/>
      </c>
      <c r="I63" s="46">
        <f>IF(I61=0,0,I37)</f>
        <v/>
      </c>
      <c r="J63" s="46">
        <f>IF(J61=0,0,J37)</f>
        <v/>
      </c>
      <c r="K63" s="46">
        <f>IF(K61=0,0,K37)</f>
        <v/>
      </c>
    </row>
    <row r="64" ht="29" customHeight="1">
      <c r="A64" s="27" t="inlineStr">
        <is>
          <t>S.52</t>
        </is>
      </c>
      <c r="B64" s="26" t="inlineStr">
        <is>
          <t>SRS pods on AKS (minimum)</t>
        </is>
      </c>
      <c r="C64" s="27" t="inlineStr">
        <is>
          <t>pods</t>
        </is>
      </c>
      <c r="D64" s="27" t="inlineStr">
        <is>
          <t>3 for Production and Stage or with high availability; SRS autoscales above this.</t>
        </is>
      </c>
      <c r="E64" s="27" t="inlineStr">
        <is>
          <t>P2</t>
        </is>
      </c>
      <c r="F64" s="46">
        <f>IF(F6=0,0,IF(OR(F11="Prod",F22="Yes"),MAX(F38,P_SEARCH_HA),F38))</f>
        <v/>
      </c>
      <c r="G64" s="46">
        <f>IF(G6=0,0,IF(OR(G11="Prod",G22="Yes"),MAX(G38,P_SEARCH_HA),G38))</f>
        <v/>
      </c>
      <c r="H64" s="46">
        <f>IF(H6=0,0,IF(OR(H11="Prod",H22="Yes"),MAX(H38,P_SEARCH_HA),H38))</f>
        <v/>
      </c>
      <c r="I64" s="46">
        <f>IF(I6=0,0,IF(OR(I11="Prod",I22="Yes"),MAX(I38,P_SEARCH_HA),I38))</f>
        <v/>
      </c>
      <c r="J64" s="46">
        <f>IF(J6=0,0,IF(OR(J11="Prod",J22="Yes"),MAX(J38,P_SEARCH_HA),J38))</f>
        <v/>
      </c>
      <c r="K64" s="46">
        <f>IF(K6=0,0,IF(OR(K11="Prod",K22="Yes"),MAX(K38,P_SEARCH_HA),K38))</f>
        <v/>
      </c>
    </row>
    <row r="65" ht="15.5" customHeight="1">
      <c r="A65" s="27" t="inlineStr">
        <is>
          <t>S.53</t>
        </is>
      </c>
      <c r="B65" s="26" t="inlineStr">
        <is>
          <t>SRS pod CPU / RAM</t>
        </is>
      </c>
      <c r="C65" s="27" t="inlineStr">
        <is>
          <t>text</t>
        </is>
      </c>
      <c r="D65" s="27" t="inlineStr">
        <is>
          <t>From the Pega table.</t>
        </is>
      </c>
      <c r="E65" s="27" t="inlineStr">
        <is>
          <t>P2</t>
        </is>
      </c>
      <c r="F65" s="11">
        <f>IF(F64=0,"-",IFERROR(INDEX(PS_CPU,MATCH(F30&amp;"|SRS|"&amp;F11,PS_KEY,0)),0)&amp;" CPU / "&amp;IFERROR(INDEX(PS_RAM,MATCH(F30&amp;"|SRS|"&amp;F11,PS_KEY,0)),0)&amp;" GB")</f>
        <v/>
      </c>
      <c r="G65" s="11">
        <f>IF(G64=0,"-",IFERROR(INDEX(PS_CPU,MATCH(G30&amp;"|SRS|"&amp;G11,PS_KEY,0)),0)&amp;" CPU / "&amp;IFERROR(INDEX(PS_RAM,MATCH(G30&amp;"|SRS|"&amp;G11,PS_KEY,0)),0)&amp;" GB")</f>
        <v/>
      </c>
      <c r="H65" s="11">
        <f>IF(H64=0,"-",IFERROR(INDEX(PS_CPU,MATCH(H30&amp;"|SRS|"&amp;H11,PS_KEY,0)),0)&amp;" CPU / "&amp;IFERROR(INDEX(PS_RAM,MATCH(H30&amp;"|SRS|"&amp;H11,PS_KEY,0)),0)&amp;" GB")</f>
        <v/>
      </c>
      <c r="I65" s="11">
        <f>IF(I64=0,"-",IFERROR(INDEX(PS_CPU,MATCH(I30&amp;"|SRS|"&amp;I11,PS_KEY,0)),0)&amp;" CPU / "&amp;IFERROR(INDEX(PS_RAM,MATCH(I30&amp;"|SRS|"&amp;I11,PS_KEY,0)),0)&amp;" GB")</f>
        <v/>
      </c>
      <c r="J65" s="11">
        <f>IF(J64=0,"-",IFERROR(INDEX(PS_CPU,MATCH(J30&amp;"|SRS|"&amp;J11,PS_KEY,0)),0)&amp;" CPU / "&amp;IFERROR(INDEX(PS_RAM,MATCH(J30&amp;"|SRS|"&amp;J11,PS_KEY,0)),0)&amp;" GB")</f>
        <v/>
      </c>
      <c r="K65" s="11">
        <f>IF(K64=0,"-",IFERROR(INDEX(PS_CPU,MATCH(K30&amp;"|SRS|"&amp;K11,PS_KEY,0)),0)&amp;" CPU / "&amp;IFERROR(INDEX(PS_RAM,MATCH(K30&amp;"|SRS|"&amp;K11,PS_KEY,0)),0)&amp;" GB")</f>
        <v/>
      </c>
    </row>
    <row r="66" ht="16" customHeight="1">
      <c r="A66" s="31" t="inlineStr">
        <is>
          <t>I. Totals for the provider</t>
        </is>
      </c>
      <c r="B66" s="32" t="n"/>
      <c r="C66" s="32" t="n"/>
      <c r="D66" s="32" t="n"/>
      <c r="E66" s="32" t="n"/>
      <c r="F66" s="32" t="n"/>
      <c r="G66" s="32" t="n"/>
      <c r="H66" s="32" t="n"/>
      <c r="I66" s="32" t="n"/>
      <c r="J66" s="32" t="n"/>
      <c r="K66" s="32" t="n"/>
    </row>
    <row r="67" ht="15.5" customHeight="1">
      <c r="A67" s="27" t="inlineStr">
        <is>
          <t>S.54</t>
        </is>
      </c>
      <c r="B67" s="26" t="inlineStr">
        <is>
          <t>Data node vCPU in total</t>
        </is>
      </c>
      <c r="C67" s="27" t="inlineStr">
        <is>
          <t>vCPU</t>
        </is>
      </c>
      <c r="D67" s="27" t="inlineStr"/>
      <c r="E67" s="27" t="inlineStr">
        <is>
          <t>-</t>
        </is>
      </c>
      <c r="F67" s="38">
        <f>F56*F40</f>
        <v/>
      </c>
      <c r="G67" s="38">
        <f>G56*G40</f>
        <v/>
      </c>
      <c r="H67" s="38">
        <f>H56*H40</f>
        <v/>
      </c>
      <c r="I67" s="38">
        <f>I56*I40</f>
        <v/>
      </c>
      <c r="J67" s="38">
        <f>J56*J40</f>
        <v/>
      </c>
      <c r="K67" s="38">
        <f>K56*K40</f>
        <v/>
      </c>
    </row>
    <row r="68" ht="15.5" customHeight="1">
      <c r="A68" s="27" t="inlineStr">
        <is>
          <t>S.55</t>
        </is>
      </c>
      <c r="B68" s="26" t="inlineStr">
        <is>
          <t>Data node RAM in total</t>
        </is>
      </c>
      <c r="C68" s="27" t="inlineStr">
        <is>
          <t>GB</t>
        </is>
      </c>
      <c r="D68" s="27" t="inlineStr"/>
      <c r="E68" s="27" t="inlineStr">
        <is>
          <t>-</t>
        </is>
      </c>
      <c r="F68" s="38">
        <f>F56*F41</f>
        <v/>
      </c>
      <c r="G68" s="38">
        <f>G56*G41</f>
        <v/>
      </c>
      <c r="H68" s="38">
        <f>H56*H41</f>
        <v/>
      </c>
      <c r="I68" s="38">
        <f>I56*I41</f>
        <v/>
      </c>
      <c r="J68" s="38">
        <f>J56*J41</f>
        <v/>
      </c>
      <c r="K68" s="38">
        <f>K56*K41</f>
        <v/>
      </c>
    </row>
    <row r="69" ht="15.5" customHeight="1">
      <c r="A69" s="27" t="inlineStr">
        <is>
          <t>S.56</t>
        </is>
      </c>
      <c r="B69" s="26" t="inlineStr">
        <is>
          <t>Data node disk in total</t>
        </is>
      </c>
      <c r="C69" s="27" t="inlineStr">
        <is>
          <t>GB</t>
        </is>
      </c>
      <c r="D69" s="27" t="inlineStr"/>
      <c r="E69" s="27" t="inlineStr">
        <is>
          <t>-</t>
        </is>
      </c>
      <c r="F69" s="47">
        <f>F56*F42</f>
        <v/>
      </c>
      <c r="G69" s="47">
        <f>G56*G42</f>
        <v/>
      </c>
      <c r="H69" s="47">
        <f>H56*H42</f>
        <v/>
      </c>
      <c r="I69" s="47">
        <f>I56*I42</f>
        <v/>
      </c>
      <c r="J69" s="47">
        <f>J56*J42</f>
        <v/>
      </c>
      <c r="K69" s="47">
        <f>K56*K42</f>
        <v/>
      </c>
    </row>
    <row r="70" ht="15.5" customHeight="1">
      <c r="A70" s="27" t="inlineStr">
        <is>
          <t>S.57</t>
        </is>
      </c>
      <c r="B70" s="26" t="inlineStr">
        <is>
          <t>Cluster manager vCPU in total</t>
        </is>
      </c>
      <c r="C70" s="27" t="inlineStr">
        <is>
          <t>vCPU</t>
        </is>
      </c>
      <c r="D70" s="27" t="inlineStr"/>
      <c r="E70" s="27" t="inlineStr">
        <is>
          <t>-</t>
        </is>
      </c>
      <c r="F70" s="38">
        <f>F61*F62</f>
        <v/>
      </c>
      <c r="G70" s="38">
        <f>G61*G62</f>
        <v/>
      </c>
      <c r="H70" s="38">
        <f>H61*H62</f>
        <v/>
      </c>
      <c r="I70" s="38">
        <f>I61*I62</f>
        <v/>
      </c>
      <c r="J70" s="38">
        <f>J61*J62</f>
        <v/>
      </c>
      <c r="K70" s="38">
        <f>K61*K62</f>
        <v/>
      </c>
    </row>
    <row r="71" ht="15.5" customHeight="1">
      <c r="A71" s="27" t="inlineStr">
        <is>
          <t>S.58</t>
        </is>
      </c>
      <c r="B71" s="26" t="inlineStr">
        <is>
          <t>Cluster manager RAM in total</t>
        </is>
      </c>
      <c r="C71" s="27" t="inlineStr">
        <is>
          <t>GB</t>
        </is>
      </c>
      <c r="D71" s="27" t="inlineStr"/>
      <c r="E71" s="27" t="inlineStr">
        <is>
          <t>-</t>
        </is>
      </c>
      <c r="F71" s="38">
        <f>F61*F63</f>
        <v/>
      </c>
      <c r="G71" s="38">
        <f>G61*G63</f>
        <v/>
      </c>
      <c r="H71" s="38">
        <f>H61*H63</f>
        <v/>
      </c>
      <c r="I71" s="38">
        <f>I61*I63</f>
        <v/>
      </c>
      <c r="J71" s="38">
        <f>J61*J63</f>
        <v/>
      </c>
      <c r="K71" s="38">
        <f>K61*K63</f>
        <v/>
      </c>
    </row>
    <row r="72" ht="16" customHeight="1">
      <c r="A72" s="31" t="inlineStr">
        <is>
          <t>J. Cross-checks</t>
        </is>
      </c>
      <c r="B72" s="32" t="n"/>
      <c r="C72" s="32" t="n"/>
      <c r="D72" s="32" t="n"/>
      <c r="E72" s="32" t="n"/>
      <c r="F72" s="32" t="n"/>
      <c r="G72" s="32" t="n"/>
      <c r="H72" s="32" t="n"/>
      <c r="I72" s="32" t="n"/>
      <c r="J72" s="32" t="n"/>
      <c r="K72" s="32" t="n"/>
    </row>
    <row r="73" ht="42.5" customHeight="1">
      <c r="A73" s="27" t="inlineStr">
        <is>
          <t>S.59</t>
        </is>
      </c>
      <c r="B73" s="26" t="inlineStr">
        <is>
          <t>Disk use at end of period</t>
        </is>
      </c>
      <c r="C73" s="27" t="inlineStr">
        <is>
          <t>%</t>
        </is>
      </c>
      <c r="D73" s="27" t="inlineStr">
        <is>
          <t>Source x (1 + replicas) x (1 + indexing overhead) / usable disk, where usable = total disk x (1 - OS reserve) x (1 - provider overhead).</t>
        </is>
      </c>
      <c r="E73" s="27" t="inlineStr">
        <is>
          <t>A1, O3</t>
        </is>
      </c>
      <c r="F73" s="44">
        <f>IF(F69=0,0,F45*(1+F24)*(1+F27)/(F69*(1-F26)*(1-F25)))</f>
        <v/>
      </c>
      <c r="G73" s="44">
        <f>IF(G69=0,0,G45*(1+G24)*(1+G27)/(G69*(1-G26)*(1-G25)))</f>
        <v/>
      </c>
      <c r="H73" s="44">
        <f>IF(H69=0,0,H45*(1+H24)*(1+H27)/(H69*(1-H26)*(1-H25)))</f>
        <v/>
      </c>
      <c r="I73" s="44">
        <f>IF(I69=0,0,I45*(1+I24)*(1+I27)/(I69*(1-I26)*(1-I25)))</f>
        <v/>
      </c>
      <c r="J73" s="44">
        <f>IF(J69=0,0,J45*(1+J24)*(1+J27)/(J69*(1-J26)*(1-J25)))</f>
        <v/>
      </c>
      <c r="K73" s="44">
        <f>IF(K69=0,0,K45*(1+K24)*(1+K27)/(K69*(1-K26)*(1-K25)))</f>
        <v/>
      </c>
    </row>
    <row r="74" ht="15.5" customHeight="1">
      <c r="A74" s="27" t="inlineStr">
        <is>
          <t>S.60</t>
        </is>
      </c>
      <c r="B74" s="26" t="inlineStr">
        <is>
          <t>Shards per data node</t>
        </is>
      </c>
      <c r="C74" s="27" t="inlineStr">
        <is>
          <t>count</t>
        </is>
      </c>
      <c r="D74" s="27" t="inlineStr"/>
      <c r="E74" s="27" t="inlineStr">
        <is>
          <t>O3</t>
        </is>
      </c>
      <c r="F74" s="38">
        <f>IF(F56=0,0,F48/F56)</f>
        <v/>
      </c>
      <c r="G74" s="38">
        <f>IF(G56=0,0,G48/G56)</f>
        <v/>
      </c>
      <c r="H74" s="38">
        <f>IF(H56=0,0,H48/H56)</f>
        <v/>
      </c>
      <c r="I74" s="38">
        <f>IF(I56=0,0,I48/I56)</f>
        <v/>
      </c>
      <c r="J74" s="38">
        <f>IF(J56=0,0,J48/J56)</f>
        <v/>
      </c>
      <c r="K74" s="38">
        <f>IF(K56=0,0,K48/K56)</f>
        <v/>
      </c>
    </row>
    <row r="75" ht="15.5" customHeight="1">
      <c r="A75" s="27" t="inlineStr">
        <is>
          <t>S.61</t>
        </is>
      </c>
      <c r="B75" s="26" t="inlineStr">
        <is>
          <t>Shard limit per data node</t>
        </is>
      </c>
      <c r="C75" s="27" t="inlineStr">
        <is>
          <t>count</t>
        </is>
      </c>
      <c r="D75" s="27" t="inlineStr">
        <is>
          <t>Lower of 1,000 and 25 x heap.</t>
        </is>
      </c>
      <c r="E75" s="27" t="inlineStr">
        <is>
          <t>O3, A2</t>
        </is>
      </c>
      <c r="F75" s="38">
        <f>MIN(O_SHARDS_NODE,A_SHARDS_HEAP*F43)</f>
        <v/>
      </c>
      <c r="G75" s="38">
        <f>MIN(O_SHARDS_NODE,A_SHARDS_HEAP*G43)</f>
        <v/>
      </c>
      <c r="H75" s="38">
        <f>MIN(O_SHARDS_NODE,A_SHARDS_HEAP*H43)</f>
        <v/>
      </c>
      <c r="I75" s="38">
        <f>MIN(O_SHARDS_NODE,A_SHARDS_HEAP*I43)</f>
        <v/>
      </c>
      <c r="J75" s="38">
        <f>MIN(O_SHARDS_NODE,A_SHARDS_HEAP*J43)</f>
        <v/>
      </c>
      <c r="K75" s="38">
        <f>MIN(O_SHARDS_NODE,A_SHARDS_HEAP*K43)</f>
        <v/>
      </c>
    </row>
    <row r="76" ht="15.5" customHeight="1">
      <c r="A76" s="27" t="inlineStr">
        <is>
          <t>S.62</t>
        </is>
      </c>
      <c r="B76" s="26" t="inlineStr">
        <is>
          <t>Average primary shard size</t>
        </is>
      </c>
      <c r="C76" s="27" t="inlineStr">
        <is>
          <t>GB</t>
        </is>
      </c>
      <c r="D76" s="27" t="inlineStr">
        <is>
          <t>Source data x (1 + indexing overhead) / primary shards.</t>
        </is>
      </c>
      <c r="E76" s="27" t="inlineStr">
        <is>
          <t>A2</t>
        </is>
      </c>
      <c r="F76" s="40">
        <f>IF(F18=0,0,F14*(1+F27)/F18)</f>
        <v/>
      </c>
      <c r="G76" s="40">
        <f>IF(G18=0,0,G14*(1+G27)/G18)</f>
        <v/>
      </c>
      <c r="H76" s="40">
        <f>IF(H18=0,0,H14*(1+H27)/H18)</f>
        <v/>
      </c>
      <c r="I76" s="40">
        <f>IF(I18=0,0,I14*(1+I27)/I18)</f>
        <v/>
      </c>
      <c r="J76" s="40">
        <f>IF(J18=0,0,J14*(1+J27)/J18)</f>
        <v/>
      </c>
      <c r="K76" s="40">
        <f>IF(K18=0,0,K14*(1+K27)/K18)</f>
        <v/>
      </c>
    </row>
    <row r="77" ht="29" customHeight="1">
      <c r="A77" s="27" t="inlineStr">
        <is>
          <t>S.63</t>
        </is>
      </c>
      <c r="B77" s="26" t="inlineStr">
        <is>
          <t>AWS starting point for demanding workloads: vCPU</t>
        </is>
      </c>
      <c r="C77" s="27" t="inlineStr">
        <is>
          <t>vCPU</t>
        </is>
      </c>
      <c r="D77" s="27" t="inlineStr">
        <is>
          <t>2 vCPU per 100 GiB of storage.</t>
        </is>
      </c>
      <c r="E77" s="27" t="inlineStr">
        <is>
          <t>A3</t>
        </is>
      </c>
      <c r="F77" s="38">
        <f>F46/100*A_VCPU_100</f>
        <v/>
      </c>
      <c r="G77" s="38">
        <f>G46/100*A_VCPU_100</f>
        <v/>
      </c>
      <c r="H77" s="38">
        <f>H46/100*A_VCPU_100</f>
        <v/>
      </c>
      <c r="I77" s="38">
        <f>I46/100*A_VCPU_100</f>
        <v/>
      </c>
      <c r="J77" s="38">
        <f>J46/100*A_VCPU_100</f>
        <v/>
      </c>
      <c r="K77" s="38">
        <f>K46/100*A_VCPU_100</f>
        <v/>
      </c>
    </row>
    <row r="78" ht="29" customHeight="1">
      <c r="A78" s="27" t="inlineStr">
        <is>
          <t>S.64</t>
        </is>
      </c>
      <c r="B78" s="26" t="inlineStr">
        <is>
          <t>AWS starting point for demanding workloads: RAM</t>
        </is>
      </c>
      <c r="C78" s="27" t="inlineStr">
        <is>
          <t>GB</t>
        </is>
      </c>
      <c r="D78" s="27" t="inlineStr">
        <is>
          <t>8 GiB per 100 GiB of storage.</t>
        </is>
      </c>
      <c r="E78" s="27" t="inlineStr">
        <is>
          <t>A3</t>
        </is>
      </c>
      <c r="F78" s="38">
        <f>F46/100*A_RAM_100</f>
        <v/>
      </c>
      <c r="G78" s="38">
        <f>G46/100*A_RAM_100</f>
        <v/>
      </c>
      <c r="H78" s="38">
        <f>H46/100*A_RAM_100</f>
        <v/>
      </c>
      <c r="I78" s="38">
        <f>I46/100*A_RAM_100</f>
        <v/>
      </c>
      <c r="J78" s="38">
        <f>J46/100*A_RAM_100</f>
        <v/>
      </c>
      <c r="K78" s="38">
        <f>K46/100*A_RAM_100</f>
        <v/>
      </c>
    </row>
    <row r="79" ht="16" customHeight="1">
      <c r="A79" s="31" t="inlineStr">
        <is>
          <t>K. Checks (PASS, INFO, WARN, FAIL)</t>
        </is>
      </c>
      <c r="B79" s="32" t="n"/>
      <c r="C79" s="32" t="n"/>
      <c r="D79" s="32" t="n"/>
      <c r="E79" s="32" t="n"/>
      <c r="F79" s="32" t="n"/>
      <c r="G79" s="32" t="n"/>
      <c r="H79" s="32" t="n"/>
      <c r="I79" s="32" t="n"/>
      <c r="J79" s="32" t="n"/>
      <c r="K79" s="32" t="n"/>
    </row>
    <row r="80" ht="15.5" customHeight="1">
      <c r="A80" s="27" t="inlineStr">
        <is>
          <t>S.65</t>
        </is>
      </c>
      <c r="B80" s="26" t="inlineStr">
        <is>
          <t>Inputs complete</t>
        </is>
      </c>
      <c r="C80" s="27" t="inlineStr">
        <is>
          <t>status</t>
        </is>
      </c>
      <c r="D80" s="27" t="inlineStr"/>
      <c r="E80" s="27" t="inlineStr">
        <is>
          <t>-</t>
        </is>
      </c>
      <c r="F80" s="25">
        <f>IF(F6=0,"-",IF(F13=0,"FAIL: no searchable data figure",IF(F17=0,"WARN: number of indexes not given",IF(F20&gt;0,"WARN: input status missing for "&amp;F20&amp;" environment(s)","PASS"))))</f>
        <v/>
      </c>
      <c r="G80" s="25">
        <f>IF(G6=0,"-",IF(G13=0,"FAIL: no searchable data figure",IF(G17=0,"WARN: number of indexes not given",IF(G20&gt;0,"WARN: input status missing for "&amp;G20&amp;" environment(s)","PASS"))))</f>
        <v/>
      </c>
      <c r="H80" s="25">
        <f>IF(H6=0,"-",IF(H13=0,"FAIL: no searchable data figure",IF(H17=0,"WARN: number of indexes not given",IF(H20&gt;0,"WARN: input status missing for "&amp;H20&amp;" environment(s)","PASS"))))</f>
        <v/>
      </c>
      <c r="I80" s="25">
        <f>IF(I6=0,"-",IF(I13=0,"FAIL: no searchable data figure",IF(I17=0,"WARN: number of indexes not given",IF(I20&gt;0,"WARN: input status missing for "&amp;I20&amp;" environment(s)","PASS"))))</f>
        <v/>
      </c>
      <c r="J80" s="25">
        <f>IF(J6=0,"-",IF(J13=0,"FAIL: no searchable data figure",IF(J17=0,"WARN: number of indexes not given",IF(J20&gt;0,"WARN: input status missing for "&amp;J20&amp;" environment(s)","PASS"))))</f>
        <v/>
      </c>
      <c r="K80" s="25">
        <f>IF(K6=0,"-",IF(K13=0,"FAIL: no searchable data figure",IF(K17=0,"WARN: number of indexes not given",IF(K20&gt;0,"WARN: input status missing for "&amp;K20&amp;" environment(s)","PASS"))))</f>
        <v/>
      </c>
    </row>
    <row r="81" ht="15.5" customHeight="1">
      <c r="A81" s="27" t="inlineStr">
        <is>
          <t>S.66</t>
        </is>
      </c>
      <c r="B81" s="26" t="inlineStr">
        <is>
          <t>No example values</t>
        </is>
      </c>
      <c r="C81" s="27" t="inlineStr">
        <is>
          <t>status</t>
        </is>
      </c>
      <c r="D81" s="27" t="inlineStr"/>
      <c r="E81" s="27" t="inlineStr">
        <is>
          <t>-</t>
        </is>
      </c>
      <c r="F81" s="25">
        <f>IF(F6=0,"-",IF(F19&gt;0,"WARN: "&amp;F19&amp;" environment(s) use example values","PASS"))</f>
        <v/>
      </c>
      <c r="G81" s="25">
        <f>IF(G6=0,"-",IF(G19&gt;0,"WARN: "&amp;G19&amp;" environment(s) use example values","PASS"))</f>
        <v/>
      </c>
      <c r="H81" s="25">
        <f>IF(H6=0,"-",IF(H19&gt;0,"WARN: "&amp;H19&amp;" environment(s) use example values","PASS"))</f>
        <v/>
      </c>
      <c r="I81" s="25">
        <f>IF(I6=0,"-",IF(I19&gt;0,"WARN: "&amp;I19&amp;" environment(s) use example values","PASS"))</f>
        <v/>
      </c>
      <c r="J81" s="25">
        <f>IF(J6=0,"-",IF(J19&gt;0,"WARN: "&amp;J19&amp;" environment(s) use example values","PASS"))</f>
        <v/>
      </c>
      <c r="K81" s="25">
        <f>IF(K6=0,"-",IF(K19&gt;0,"WARN: "&amp;K19&amp;" environment(s) use example values","PASS"))</f>
        <v/>
      </c>
    </row>
    <row r="82" ht="29" customHeight="1">
      <c r="A82" s="27" t="inlineStr">
        <is>
          <t>S.67</t>
        </is>
      </c>
      <c r="B82" s="26" t="inlineStr">
        <is>
          <t>High availability for Production and Stage</t>
        </is>
      </c>
      <c r="C82" s="27" t="inlineStr">
        <is>
          <t>status</t>
        </is>
      </c>
      <c r="D82" s="27" t="inlineStr">
        <is>
          <t>Pega: at least three nodes per service for high availability.</t>
        </is>
      </c>
      <c r="E82" s="27" t="inlineStr">
        <is>
          <t>P2</t>
        </is>
      </c>
      <c r="F82" s="25">
        <f>IF(F6=0,"-",IF(AND(F11="Prod",F22&lt;&gt;"Yes"),"WARN: high availability not selected for a Production or Stage service","PASS"))</f>
        <v/>
      </c>
      <c r="G82" s="25">
        <f>IF(G6=0,"-",IF(AND(G11="Prod",G22&lt;&gt;"Yes"),"WARN: high availability not selected for a Production or Stage service","PASS"))</f>
        <v/>
      </c>
      <c r="H82" s="25">
        <f>IF(H6=0,"-",IF(AND(H11="Prod",H22&lt;&gt;"Yes"),"WARN: high availability not selected for a Production or Stage service","PASS"))</f>
        <v/>
      </c>
      <c r="I82" s="25">
        <f>IF(I6=0,"-",IF(AND(I11="Prod",I22&lt;&gt;"Yes"),"WARN: high availability not selected for a Production or Stage service","PASS"))</f>
        <v/>
      </c>
      <c r="J82" s="25">
        <f>IF(J6=0,"-",IF(AND(J11="Prod",J22&lt;&gt;"Yes"),"WARN: high availability not selected for a Production or Stage service","PASS"))</f>
        <v/>
      </c>
      <c r="K82" s="25">
        <f>IF(K6=0,"-",IF(AND(K11="Prod",K22&lt;&gt;"Yes"),"WARN: high availability not selected for a Production or Stage service","PASS"))</f>
        <v/>
      </c>
    </row>
    <row r="83" ht="15.5" customHeight="1">
      <c r="A83" s="27" t="inlineStr">
        <is>
          <t>S.68</t>
        </is>
      </c>
      <c r="B83" s="26" t="inlineStr">
        <is>
          <t>Replicas can be allocated</t>
        </is>
      </c>
      <c r="C83" s="27" t="inlineStr">
        <is>
          <t>status</t>
        </is>
      </c>
      <c r="D83" s="27" t="inlineStr"/>
      <c r="E83" s="27" t="inlineStr">
        <is>
          <t>O5, O6, A1</t>
        </is>
      </c>
      <c r="F83" s="25">
        <f>IF(F6=0,"-",IF(F56&lt;F24+1,"FAIL: too few data nodes for the replicas (yellow cluster)",IF(F24=0,"WARN: no replica; AWS recommends at least one","PASS")))</f>
        <v/>
      </c>
      <c r="G83" s="25">
        <f>IF(G6=0,"-",IF(G56&lt;G24+1,"FAIL: too few data nodes for the replicas (yellow cluster)",IF(G24=0,"WARN: no replica; AWS recommends at least one","PASS")))</f>
        <v/>
      </c>
      <c r="H83" s="25">
        <f>IF(H6=0,"-",IF(H56&lt;H24+1,"FAIL: too few data nodes for the replicas (yellow cluster)",IF(H24=0,"WARN: no replica; AWS recommends at least one","PASS")))</f>
        <v/>
      </c>
      <c r="I83" s="25">
        <f>IF(I6=0,"-",IF(I56&lt;I24+1,"FAIL: too few data nodes for the replicas (yellow cluster)",IF(I24=0,"WARN: no replica; AWS recommends at least one","PASS")))</f>
        <v/>
      </c>
      <c r="J83" s="25">
        <f>IF(J6=0,"-",IF(J56&lt;J24+1,"FAIL: too few data nodes for the replicas (yellow cluster)",IF(J24=0,"WARN: no replica; AWS recommends at least one","PASS")))</f>
        <v/>
      </c>
      <c r="K83" s="25">
        <f>IF(K6=0,"-",IF(K56&lt;K24+1,"FAIL: too few data nodes for the replicas (yellow cluster)",IF(K24=0,"WARN: no replica; AWS recommends at least one","PASS")))</f>
        <v/>
      </c>
    </row>
    <row r="84" ht="15.5" customHeight="1">
      <c r="A84" s="27" t="inlineStr">
        <is>
          <t>S.69</t>
        </is>
      </c>
      <c r="B84" s="26" t="inlineStr">
        <is>
          <t>Disk use below the low watermark</t>
        </is>
      </c>
      <c r="C84" s="27" t="inlineStr">
        <is>
          <t>status</t>
        </is>
      </c>
      <c r="D84" s="27" t="inlineStr">
        <is>
          <t>Above 85 % OpenSearch stops allocating replicas to the node.</t>
        </is>
      </c>
      <c r="E84" s="27" t="inlineStr">
        <is>
          <t>O3</t>
        </is>
      </c>
      <c r="F84" s="25">
        <f>IF(F6=0,"-",IF(F73&gt;O_WM_LOW,"FAIL: "&amp;TEXT(F73,"0%")&amp;" is above the 85% low watermark","PASS"))</f>
        <v/>
      </c>
      <c r="G84" s="25">
        <f>IF(G6=0,"-",IF(G73&gt;O_WM_LOW,"FAIL: "&amp;TEXT(G73,"0%")&amp;" is above the 85% low watermark","PASS"))</f>
        <v/>
      </c>
      <c r="H84" s="25">
        <f>IF(H6=0,"-",IF(H73&gt;O_WM_LOW,"FAIL: "&amp;TEXT(H73,"0%")&amp;" is above the 85% low watermark","PASS"))</f>
        <v/>
      </c>
      <c r="I84" s="25">
        <f>IF(I6=0,"-",IF(I73&gt;O_WM_LOW,"FAIL: "&amp;TEXT(I73,"0%")&amp;" is above the 85% low watermark","PASS"))</f>
        <v/>
      </c>
      <c r="J84" s="25">
        <f>IF(J6=0,"-",IF(J73&gt;O_WM_LOW,"FAIL: "&amp;TEXT(J73,"0%")&amp;" is above the 85% low watermark","PASS"))</f>
        <v/>
      </c>
      <c r="K84" s="25">
        <f>IF(K6=0,"-",IF(K73&gt;O_WM_LOW,"FAIL: "&amp;TEXT(K73,"0%")&amp;" is above the 85% low watermark","PASS"))</f>
        <v/>
      </c>
    </row>
    <row r="85" ht="15.5" customHeight="1">
      <c r="A85" s="27" t="inlineStr">
        <is>
          <t>S.70</t>
        </is>
      </c>
      <c r="B85" s="26" t="inlineStr">
        <is>
          <t>Shards per node within limits</t>
        </is>
      </c>
      <c r="C85" s="27" t="inlineStr">
        <is>
          <t>status</t>
        </is>
      </c>
      <c r="D85" s="27" t="inlineStr"/>
      <c r="E85" s="27" t="inlineStr">
        <is>
          <t>O3, A2</t>
        </is>
      </c>
      <c r="F85" s="25">
        <f>IF(F6=0,"-",IF(F74&gt;F75,"FAIL: "&amp;TEXT(F74,"#,##0")&amp;" shards per node is above "&amp;TEXT(F75,"#,##0"),"PASS"))</f>
        <v/>
      </c>
      <c r="G85" s="25">
        <f>IF(G6=0,"-",IF(G74&gt;G75,"FAIL: "&amp;TEXT(G74,"#,##0")&amp;" shards per node is above "&amp;TEXT(G75,"#,##0"),"PASS"))</f>
        <v/>
      </c>
      <c r="H85" s="25">
        <f>IF(H6=0,"-",IF(H74&gt;H75,"FAIL: "&amp;TEXT(H74,"#,##0")&amp;" shards per node is above "&amp;TEXT(H75,"#,##0"),"PASS"))</f>
        <v/>
      </c>
      <c r="I85" s="25">
        <f>IF(I6=0,"-",IF(I74&gt;I75,"FAIL: "&amp;TEXT(I74,"#,##0")&amp;" shards per node is above "&amp;TEXT(I75,"#,##0"),"PASS"))</f>
        <v/>
      </c>
      <c r="J85" s="25">
        <f>IF(J6=0,"-",IF(J74&gt;J75,"FAIL: "&amp;TEXT(J74,"#,##0")&amp;" shards per node is above "&amp;TEXT(J75,"#,##0"),"PASS"))</f>
        <v/>
      </c>
      <c r="K85" s="25">
        <f>IF(K6=0,"-",IF(K74&gt;K75,"FAIL: "&amp;TEXT(K74,"#,##0")&amp;" shards per node is above "&amp;TEXT(K75,"#,##0"),"PASS"))</f>
        <v/>
      </c>
    </row>
    <row r="86" ht="15.5" customHeight="1">
      <c r="A86" s="27" t="inlineStr">
        <is>
          <t>S.71</t>
        </is>
      </c>
      <c r="B86" s="26" t="inlineStr">
        <is>
          <t>Shard size guideline</t>
        </is>
      </c>
      <c r="C86" s="27" t="inlineStr">
        <is>
          <t>status</t>
        </is>
      </c>
      <c r="D86" s="27" t="inlineStr">
        <is>
          <t>AWS guideline 10 to 50 GiB per shard.</t>
        </is>
      </c>
      <c r="E86" s="27" t="inlineStr">
        <is>
          <t>A2</t>
        </is>
      </c>
      <c r="F86" s="25">
        <f>IF(OR(F6=0,F18=0),"-",IF(F76&gt;A_SHARD_MAX,"WARN: average shard "&amp;TEXT(F76,"0")&amp;" GB; consider more primary shards",IF(F76&lt;A_SHARD_MIN,"INFO: average shard "&amp;TEXT(F76,"0.0")&amp;" GB, below the 10 GiB guideline","PASS")))</f>
        <v/>
      </c>
      <c r="G86" s="25">
        <f>IF(OR(G6=0,G18=0),"-",IF(G76&gt;A_SHARD_MAX,"WARN: average shard "&amp;TEXT(G76,"0")&amp;" GB; consider more primary shards",IF(G76&lt;A_SHARD_MIN,"INFO: average shard "&amp;TEXT(G76,"0.0")&amp;" GB, below the 10 GiB guideline","PASS")))</f>
        <v/>
      </c>
      <c r="H86" s="25">
        <f>IF(OR(H6=0,H18=0),"-",IF(H76&gt;A_SHARD_MAX,"WARN: average shard "&amp;TEXT(H76,"0")&amp;" GB; consider more primary shards",IF(H76&lt;A_SHARD_MIN,"INFO: average shard "&amp;TEXT(H76,"0.0")&amp;" GB, below the 10 GiB guideline","PASS")))</f>
        <v/>
      </c>
      <c r="I86" s="25">
        <f>IF(OR(I6=0,I18=0),"-",IF(I76&gt;A_SHARD_MAX,"WARN: average shard "&amp;TEXT(I76,"0")&amp;" GB; consider more primary shards",IF(I76&lt;A_SHARD_MIN,"INFO: average shard "&amp;TEXT(I76,"0.0")&amp;" GB, below the 10 GiB guideline","PASS")))</f>
        <v/>
      </c>
      <c r="J86" s="25">
        <f>IF(OR(J6=0,J18=0),"-",IF(J76&gt;A_SHARD_MAX,"WARN: average shard "&amp;TEXT(J76,"0")&amp;" GB; consider more primary shards",IF(J76&lt;A_SHARD_MIN,"INFO: average shard "&amp;TEXT(J76,"0.0")&amp;" GB, below the 10 GiB guideline","PASS")))</f>
        <v/>
      </c>
      <c r="K86" s="25">
        <f>IF(OR(K6=0,K18=0),"-",IF(K76&gt;A_SHARD_MAX,"WARN: average shard "&amp;TEXT(K76,"0")&amp;" GB; consider more primary shards",IF(K76&lt;A_SHARD_MIN,"INFO: average shard "&amp;TEXT(K76,"0.0")&amp;" GB, below the 10 GiB guideline","PASS")))</f>
        <v/>
      </c>
    </row>
    <row r="87" ht="29" customHeight="1">
      <c r="A87" s="27" t="inlineStr">
        <is>
          <t>S.72</t>
        </is>
      </c>
      <c r="B87" s="26" t="inlineStr">
        <is>
          <t>Document count against Pega's large example</t>
        </is>
      </c>
      <c r="C87" s="27" t="inlineStr">
        <is>
          <t>status</t>
        </is>
      </c>
      <c r="D87" s="27" t="inlineStr"/>
      <c r="E87" s="27" t="inlineStr">
        <is>
          <t>P2</t>
        </is>
      </c>
      <c r="F87" s="25">
        <f>IF(F6=0,"-",IF(AND(F16&gt;=P_SEARCH_LARGE_DOCS,F30&lt;&gt;"Large"),"INFO: "&amp;TEXT(F16,"#,##0")&amp;" documents, above the ~750,000 of Pega's large example; confirm with indexing and query metrics","PASS"))</f>
        <v/>
      </c>
      <c r="G87" s="25">
        <f>IF(G6=0,"-",IF(AND(G16&gt;=P_SEARCH_LARGE_DOCS,G30&lt;&gt;"Large"),"INFO: "&amp;TEXT(G16,"#,##0")&amp;" documents, above the ~750,000 of Pega's large example; confirm with indexing and query metrics","PASS"))</f>
        <v/>
      </c>
      <c r="H87" s="25">
        <f>IF(H6=0,"-",IF(AND(H16&gt;=P_SEARCH_LARGE_DOCS,H30&lt;&gt;"Large"),"INFO: "&amp;TEXT(H16,"#,##0")&amp;" documents, above the ~750,000 of Pega's large example; confirm with indexing and query metrics","PASS"))</f>
        <v/>
      </c>
      <c r="I87" s="25">
        <f>IF(I6=0,"-",IF(AND(I16&gt;=P_SEARCH_LARGE_DOCS,I30&lt;&gt;"Large"),"INFO: "&amp;TEXT(I16,"#,##0")&amp;" documents, above the ~750,000 of Pega's large example; confirm with indexing and query metrics","PASS"))</f>
        <v/>
      </c>
      <c r="J87" s="25">
        <f>IF(J6=0,"-",IF(AND(J16&gt;=P_SEARCH_LARGE_DOCS,J30&lt;&gt;"Large"),"INFO: "&amp;TEXT(J16,"#,##0")&amp;" documents, above the ~750,000 of Pega's large example; confirm with indexing and query metrics","PASS"))</f>
        <v/>
      </c>
      <c r="K87" s="25">
        <f>IF(K6=0,"-",IF(AND(K16&gt;=P_SEARCH_LARGE_DOCS,K30&lt;&gt;"Large"),"INFO: "&amp;TEXT(K16,"#,##0")&amp;" documents, above the ~750,000 of Pega's large example; confirm with indexing and query metrics","PASS"))</f>
        <v/>
      </c>
    </row>
    <row r="88" ht="15.5" customHeight="1">
      <c r="A88" s="27" t="inlineStr">
        <is>
          <t>S.73</t>
        </is>
      </c>
      <c r="B88" s="26" t="inlineStr">
        <is>
          <t>Engine version</t>
        </is>
      </c>
      <c r="C88" s="27" t="inlineStr">
        <is>
          <t>status</t>
        </is>
      </c>
      <c r="D88" s="27" t="inlineStr">
        <is>
          <t>Pega best practice is OpenSearch 2.15.</t>
        </is>
      </c>
      <c r="E88" s="27" t="inlineStr">
        <is>
          <t>P2</t>
        </is>
      </c>
      <c r="F88" s="25">
        <f>IF(F6=0,"-",IF('4 Search Services'!F22="OpenSearch 2.15","PASS",IF(OR('4 Search Services'!F22="OpenSearch 1.3",'4 Search Services'!F22="OpenSearch 2.19"),"INFO: supported; Pega's best practice is 2.15",IF('4 Search Services'!F22="","WARN: version not given","FAIL: not in Pega's supported list"))))</f>
        <v/>
      </c>
      <c r="G88" s="25">
        <f>IF(G6=0,"-",IF('4 Search Services'!G22="OpenSearch 2.15","PASS",IF(OR('4 Search Services'!G22="OpenSearch 1.3",'4 Search Services'!G22="OpenSearch 2.19"),"INFO: supported; Pega's best practice is 2.15",IF('4 Search Services'!G22="","WARN: version not given","FAIL: not in Pega's supported list"))))</f>
        <v/>
      </c>
      <c r="H88" s="25">
        <f>IF(H6=0,"-",IF('4 Search Services'!H22="OpenSearch 2.15","PASS",IF(OR('4 Search Services'!H22="OpenSearch 1.3",'4 Search Services'!H22="OpenSearch 2.19"),"INFO: supported; Pega's best practice is 2.15",IF('4 Search Services'!H22="","WARN: version not given","FAIL: not in Pega's supported list"))))</f>
        <v/>
      </c>
      <c r="I88" s="25">
        <f>IF(I6=0,"-",IF('4 Search Services'!I22="OpenSearch 2.15","PASS",IF(OR('4 Search Services'!I22="OpenSearch 1.3",'4 Search Services'!I22="OpenSearch 2.19"),"INFO: supported; Pega's best practice is 2.15",IF('4 Search Services'!I22="","WARN: version not given","FAIL: not in Pega's supported list"))))</f>
        <v/>
      </c>
      <c r="J88" s="25">
        <f>IF(J6=0,"-",IF('4 Search Services'!J22="OpenSearch 2.15","PASS",IF(OR('4 Search Services'!J22="OpenSearch 1.3",'4 Search Services'!J22="OpenSearch 2.19"),"INFO: supported; Pega's best practice is 2.15",IF('4 Search Services'!J22="","WARN: version not given","FAIL: not in Pega's supported list"))))</f>
        <v/>
      </c>
      <c r="K88" s="25">
        <f>IF(K6=0,"-",IF('4 Search Services'!K22="OpenSearch 2.15","PASS",IF(OR('4 Search Services'!K22="OpenSearch 1.3",'4 Search Services'!K22="OpenSearch 2.19"),"INFO: supported; Pega's best practice is 2.15",IF('4 Search Services'!K22="","WARN: version not given","FAIL: not in Pega's supported list"))))</f>
        <v/>
      </c>
    </row>
    <row r="89" ht="15.5" customHeight="1">
      <c r="A89" s="27" t="inlineStr">
        <is>
          <t>S.74</t>
        </is>
      </c>
      <c r="B89" s="26" t="inlineStr">
        <is>
          <t>Zones for high availability</t>
        </is>
      </c>
      <c r="C89" s="27" t="inlineStr">
        <is>
          <t>status</t>
        </is>
      </c>
      <c r="D89" s="27" t="inlineStr"/>
      <c r="E89" s="27" t="inlineStr">
        <is>
          <t>O1</t>
        </is>
      </c>
      <c r="F89" s="25">
        <f>IF(F6=0,"-",IF(AND(F22="Yes",F23&lt;3),"WARN: OpenSearch advises three zones for cluster managers","PASS"))</f>
        <v/>
      </c>
      <c r="G89" s="25">
        <f>IF(G6=0,"-",IF(AND(G22="Yes",G23&lt;3),"WARN: OpenSearch advises three zones for cluster managers","PASS"))</f>
        <v/>
      </c>
      <c r="H89" s="25">
        <f>IF(H6=0,"-",IF(AND(H22="Yes",H23&lt;3),"WARN: OpenSearch advises three zones for cluster managers","PASS"))</f>
        <v/>
      </c>
      <c r="I89" s="25">
        <f>IF(I6=0,"-",IF(AND(I22="Yes",I23&lt;3),"WARN: OpenSearch advises three zones for cluster managers","PASS"))</f>
        <v/>
      </c>
      <c r="J89" s="25">
        <f>IF(J6=0,"-",IF(AND(J22="Yes",J23&lt;3),"WARN: OpenSearch advises three zones for cluster managers","PASS"))</f>
        <v/>
      </c>
      <c r="K89" s="25">
        <f>IF(K6=0,"-",IF(AND(K22="Yes",K23&lt;3),"WARN: OpenSearch advises three zones for cluster managers","PASS"))</f>
        <v/>
      </c>
    </row>
    <row r="90" ht="15.5" customHeight="1">
      <c r="A90" s="27" t="inlineStr">
        <is>
          <t>S.75</t>
        </is>
      </c>
      <c r="B90" s="26" t="inlineStr">
        <is>
          <t>Pega Table 4 figures</t>
        </is>
      </c>
      <c r="C90" s="27" t="inlineStr">
        <is>
          <t>status</t>
        </is>
      </c>
      <c r="D90" s="27" t="inlineStr"/>
      <c r="E90" s="27" t="inlineStr">
        <is>
          <t>P2</t>
        </is>
      </c>
      <c r="F90" s="25">
        <f>IF(F6=0,"-",IF(F30="Large","INFO: Table 4 RAM total and storage need confirming with Pega (see Ref_Data)","PASS"))</f>
        <v/>
      </c>
      <c r="G90" s="25">
        <f>IF(G6=0,"-",IF(G30="Large","INFO: Table 4 RAM total and storage need confirming with Pega (see Ref_Data)","PASS"))</f>
        <v/>
      </c>
      <c r="H90" s="25">
        <f>IF(H6=0,"-",IF(H30="Large","INFO: Table 4 RAM total and storage need confirming with Pega (see Ref_Data)","PASS"))</f>
        <v/>
      </c>
      <c r="I90" s="25">
        <f>IF(I6=0,"-",IF(I30="Large","INFO: Table 4 RAM total and storage need confirming with Pega (see Ref_Data)","PASS"))</f>
        <v/>
      </c>
      <c r="J90" s="25">
        <f>IF(J6=0,"-",IF(J30="Large","INFO: Table 4 RAM total and storage need confirming with Pega (see Ref_Data)","PASS"))</f>
        <v/>
      </c>
      <c r="K90" s="25">
        <f>IF(K6=0,"-",IF(K30="Large","INFO: Table 4 RAM total and storage need confirming with Pega (see Ref_Data)","PASS"))</f>
        <v/>
      </c>
    </row>
    <row r="91" ht="15.5" customHeight="1">
      <c r="A91" s="27" t="inlineStr">
        <is>
          <t>S.76</t>
        </is>
      </c>
      <c r="B91" s="26" t="inlineStr">
        <is>
          <t>Compute against the AWS starting point</t>
        </is>
      </c>
      <c r="C91" s="27" t="inlineStr">
        <is>
          <t>status</t>
        </is>
      </c>
      <c r="D91" s="27" t="inlineStr">
        <is>
          <t>Information only; AWS gives it for demanding workloads.</t>
        </is>
      </c>
      <c r="E91" s="27" t="inlineStr">
        <is>
          <t>A3</t>
        </is>
      </c>
      <c r="F91" s="25">
        <f>IF(F6=0,"-",IF(F67&lt;F77,"INFO: data-node vCPU below the AWS starting point for demanding workloads","PASS"))</f>
        <v/>
      </c>
      <c r="G91" s="25">
        <f>IF(G6=0,"-",IF(G67&lt;G77,"INFO: data-node vCPU below the AWS starting point for demanding workloads","PASS"))</f>
        <v/>
      </c>
      <c r="H91" s="25">
        <f>IF(H6=0,"-",IF(H67&lt;H77,"INFO: data-node vCPU below the AWS starting point for demanding workloads","PASS"))</f>
        <v/>
      </c>
      <c r="I91" s="25">
        <f>IF(I6=0,"-",IF(I67&lt;I77,"INFO: data-node vCPU below the AWS starting point for demanding workloads","PASS"))</f>
        <v/>
      </c>
      <c r="J91" s="25">
        <f>IF(J6=0,"-",IF(J67&lt;J77,"INFO: data-node vCPU below the AWS starting point for demanding workloads","PASS"))</f>
        <v/>
      </c>
      <c r="K91" s="25">
        <f>IF(K6=0,"-",IF(K67&lt;K77,"INFO: data-node vCPU below the AWS starting point for demanding workloads","PASS"))</f>
        <v/>
      </c>
    </row>
    <row r="92" ht="15.5" customHeight="1">
      <c r="A92" s="27" t="inlineStr">
        <is>
          <t>S.77</t>
        </is>
      </c>
      <c r="B92" s="26" t="inlineStr">
        <is>
          <t>Production isolation</t>
        </is>
      </c>
      <c r="C92" s="27" t="inlineStr">
        <is>
          <t>status</t>
        </is>
      </c>
      <c r="D92" s="27" t="inlineStr"/>
      <c r="E92" s="27" t="inlineStr">
        <is>
          <t>-</t>
        </is>
      </c>
      <c r="F92" s="25">
        <f>IF(F6=0,"-",IF(AND(F9=4,F6&gt;1),"INFO: Production shares this service with other environments; confirm this is intended","PASS"))</f>
        <v/>
      </c>
      <c r="G92" s="25">
        <f>IF(G6=0,"-",IF(AND(G9=4,G6&gt;1),"INFO: Production shares this service with other environments; confirm this is intended","PASS"))</f>
        <v/>
      </c>
      <c r="H92" s="25">
        <f>IF(H6=0,"-",IF(AND(H9=4,H6&gt;1),"INFO: Production shares this service with other environments; confirm this is intended","PASS"))</f>
        <v/>
      </c>
      <c r="I92" s="25">
        <f>IF(I6=0,"-",IF(AND(I9=4,I6&gt;1),"INFO: Production shares this service with other environments; confirm this is intended","PASS"))</f>
        <v/>
      </c>
      <c r="J92" s="25">
        <f>IF(J6=0,"-",IF(AND(J9=4,J6&gt;1),"INFO: Production shares this service with other environments; confirm this is intended","PASS"))</f>
        <v/>
      </c>
      <c r="K92" s="25">
        <f>IF(K6=0,"-",IF(AND(K9=4,K6&gt;1),"INFO: Production shares this service with other environments; confirm this is intended","PASS"))</f>
        <v/>
      </c>
    </row>
    <row r="94" ht="16" customHeight="1">
      <c r="A94" s="31" t="inlineStr">
        <is>
          <t>L. Why this size: plain-English explanation per service</t>
        </is>
      </c>
      <c r="B94" s="32" t="n"/>
      <c r="C94" s="32" t="n"/>
      <c r="D94" s="32" t="n"/>
      <c r="E94" s="32" t="n"/>
      <c r="F94" s="32" t="n"/>
      <c r="G94" s="32" t="n"/>
      <c r="H94" s="32" t="n"/>
      <c r="I94" s="32" t="n"/>
      <c r="J94" s="32" t="n"/>
      <c r="K94" s="32" t="n"/>
    </row>
    <row r="95" ht="80" customHeight="1">
      <c r="B95" s="48" t="inlineStr">
        <is>
          <t>S1</t>
        </is>
      </c>
      <c r="C95" s="49">
        <f>IF(F6=0,"S1 is not used.",F8&amp;" ("&amp;F7&amp;"): "&amp;F56&amp;" data nodes of "&amp;F40&amp;" vCPU, "&amp;F41&amp;" GB RAM and "&amp;TEXT(F42,"#,##0")&amp;" GB disk, plus "&amp;F61&amp;" cluster manager nodes of "&amp;F62&amp;" vCPU and "&amp;F63&amp;" GB RAM. Pega profile: "&amp;F30&amp;IF(F30&lt;&gt;F29," (selected by the customer)",IF(F30="Large"," (searchable data at or above the 2 TB of Pega's large example)"," (searchable data below the 2 TB of Pega's large example)"))&amp;" [P2]. The data-node count is set by this rule: "&amp;F57&amp;"."&amp;IF(F59&gt;0," Alternatively, "&amp;F58&amp;" data nodes with at least "&amp;TEXT(F59,"#,##0")&amp;" GB disk each would hold the data.","")&amp;" Storage for "&amp;TEXT(F45,"#,##0")&amp;" GB of source data with "&amp;F24&amp;" replica(s) is "&amp;TEXT(F46,"#,##0")&amp;" GB [A1]; disk use at the end of the period is "&amp;TEXT(F73,"0%")&amp;" against the 85% low watermark [O3]. "&amp;TEXT(F48,"#,##0")&amp;" shards give "&amp;TEXT(F74,"#,##0")&amp;" per node against a limit of "&amp;TEXT(F75,"#,##0")&amp;" [O3][A2]. SRS on AKS: at least "&amp;F64&amp;" pods [P2].")</f>
        <v/>
      </c>
    </row>
    <row r="96" ht="80" customHeight="1">
      <c r="B96" s="48" t="inlineStr">
        <is>
          <t>S2</t>
        </is>
      </c>
      <c r="C96" s="49">
        <f>IF(G6=0,"S2 is not used.",G8&amp;" ("&amp;G7&amp;"): "&amp;G56&amp;" data nodes of "&amp;G40&amp;" vCPU, "&amp;G41&amp;" GB RAM and "&amp;TEXT(G42,"#,##0")&amp;" GB disk, plus "&amp;G61&amp;" cluster manager nodes of "&amp;G62&amp;" vCPU and "&amp;G63&amp;" GB RAM. Pega profile: "&amp;G30&amp;IF(G30&lt;&gt;G29," (selected by the customer)",IF(G30="Large"," (searchable data at or above the 2 TB of Pega's large example)"," (searchable data below the 2 TB of Pega's large example)"))&amp;" [P2]. The data-node count is set by this rule: "&amp;G57&amp;"."&amp;IF(G59&gt;0," Alternatively, "&amp;G58&amp;" data nodes with at least "&amp;TEXT(G59,"#,##0")&amp;" GB disk each would hold the data.","")&amp;" Storage for "&amp;TEXT(G45,"#,##0")&amp;" GB of source data with "&amp;G24&amp;" replica(s) is "&amp;TEXT(G46,"#,##0")&amp;" GB [A1]; disk use at the end of the period is "&amp;TEXT(G73,"0%")&amp;" against the 85% low watermark [O3]. "&amp;TEXT(G48,"#,##0")&amp;" shards give "&amp;TEXT(G74,"#,##0")&amp;" per node against a limit of "&amp;TEXT(G75,"#,##0")&amp;" [O3][A2]. SRS on AKS: at least "&amp;G64&amp;" pods [P2].")</f>
        <v/>
      </c>
    </row>
    <row r="97" ht="80" customHeight="1">
      <c r="B97" s="48" t="inlineStr">
        <is>
          <t>S3</t>
        </is>
      </c>
      <c r="C97" s="49">
        <f>IF(H6=0,"S3 is not used.",H8&amp;" ("&amp;H7&amp;"): "&amp;H56&amp;" data nodes of "&amp;H40&amp;" vCPU, "&amp;H41&amp;" GB RAM and "&amp;TEXT(H42,"#,##0")&amp;" GB disk, plus "&amp;H61&amp;" cluster manager nodes of "&amp;H62&amp;" vCPU and "&amp;H63&amp;" GB RAM. Pega profile: "&amp;H30&amp;IF(H30&lt;&gt;H29," (selected by the customer)",IF(H30="Large"," (searchable data at or above the 2 TB of Pega's large example)"," (searchable data below the 2 TB of Pega's large example)"))&amp;" [P2]. The data-node count is set by this rule: "&amp;H57&amp;"."&amp;IF(H59&gt;0," Alternatively, "&amp;H58&amp;" data nodes with at least "&amp;TEXT(H59,"#,##0")&amp;" GB disk each would hold the data.","")&amp;" Storage for "&amp;TEXT(H45,"#,##0")&amp;" GB of source data with "&amp;H24&amp;" replica(s) is "&amp;TEXT(H46,"#,##0")&amp;" GB [A1]; disk use at the end of the period is "&amp;TEXT(H73,"0%")&amp;" against the 85% low watermark [O3]. "&amp;TEXT(H48,"#,##0")&amp;" shards give "&amp;TEXT(H74,"#,##0")&amp;" per node against a limit of "&amp;TEXT(H75,"#,##0")&amp;" [O3][A2]. SRS on AKS: at least "&amp;H64&amp;" pods [P2].")</f>
        <v/>
      </c>
    </row>
    <row r="98" ht="80" customHeight="1">
      <c r="B98" s="48" t="inlineStr">
        <is>
          <t>S4</t>
        </is>
      </c>
      <c r="C98" s="49">
        <f>IF(I6=0,"S4 is not used.",I8&amp;" ("&amp;I7&amp;"): "&amp;I56&amp;" data nodes of "&amp;I40&amp;" vCPU, "&amp;I41&amp;" GB RAM and "&amp;TEXT(I42,"#,##0")&amp;" GB disk, plus "&amp;I61&amp;" cluster manager nodes of "&amp;I62&amp;" vCPU and "&amp;I63&amp;" GB RAM. Pega profile: "&amp;I30&amp;IF(I30&lt;&gt;I29," (selected by the customer)",IF(I30="Large"," (searchable data at or above the 2 TB of Pega's large example)"," (searchable data below the 2 TB of Pega's large example)"))&amp;" [P2]. The data-node count is set by this rule: "&amp;I57&amp;"."&amp;IF(I59&gt;0," Alternatively, "&amp;I58&amp;" data nodes with at least "&amp;TEXT(I59,"#,##0")&amp;" GB disk each would hold the data.","")&amp;" Storage for "&amp;TEXT(I45,"#,##0")&amp;" GB of source data with "&amp;I24&amp;" replica(s) is "&amp;TEXT(I46,"#,##0")&amp;" GB [A1]; disk use at the end of the period is "&amp;TEXT(I73,"0%")&amp;" against the 85% low watermark [O3]. "&amp;TEXT(I48,"#,##0")&amp;" shards give "&amp;TEXT(I74,"#,##0")&amp;" per node against a limit of "&amp;TEXT(I75,"#,##0")&amp;" [O3][A2]. SRS on AKS: at least "&amp;I64&amp;" pods [P2].")</f>
        <v/>
      </c>
    </row>
    <row r="99" ht="80" customHeight="1">
      <c r="B99" s="48" t="inlineStr">
        <is>
          <t>S5</t>
        </is>
      </c>
      <c r="C99" s="49">
        <f>IF(J6=0,"S5 is not used.",J8&amp;" ("&amp;J7&amp;"): "&amp;J56&amp;" data nodes of "&amp;J40&amp;" vCPU, "&amp;J41&amp;" GB RAM and "&amp;TEXT(J42,"#,##0")&amp;" GB disk, plus "&amp;J61&amp;" cluster manager nodes of "&amp;J62&amp;" vCPU and "&amp;J63&amp;" GB RAM. Pega profile: "&amp;J30&amp;IF(J30&lt;&gt;J29," (selected by the customer)",IF(J30="Large"," (searchable data at or above the 2 TB of Pega's large example)"," (searchable data below the 2 TB of Pega's large example)"))&amp;" [P2]. The data-node count is set by this rule: "&amp;J57&amp;"."&amp;IF(J59&gt;0," Alternatively, "&amp;J58&amp;" data nodes with at least "&amp;TEXT(J59,"#,##0")&amp;" GB disk each would hold the data.","")&amp;" Storage for "&amp;TEXT(J45,"#,##0")&amp;" GB of source data with "&amp;J24&amp;" replica(s) is "&amp;TEXT(J46,"#,##0")&amp;" GB [A1]; disk use at the end of the period is "&amp;TEXT(J73,"0%")&amp;" against the 85% low watermark [O3]. "&amp;TEXT(J48,"#,##0")&amp;" shards give "&amp;TEXT(J74,"#,##0")&amp;" per node against a limit of "&amp;TEXT(J75,"#,##0")&amp;" [O3][A2]. SRS on AKS: at least "&amp;J64&amp;" pods [P2].")</f>
        <v/>
      </c>
    </row>
    <row r="100" ht="80" customHeight="1">
      <c r="B100" s="48" t="inlineStr">
        <is>
          <t>S6</t>
        </is>
      </c>
      <c r="C100" s="49">
        <f>IF(K6=0,"S6 is not used.",K8&amp;" ("&amp;K7&amp;"): "&amp;K56&amp;" data nodes of "&amp;K40&amp;" vCPU, "&amp;K41&amp;" GB RAM and "&amp;TEXT(K42,"#,##0")&amp;" GB disk, plus "&amp;K61&amp;" cluster manager nodes of "&amp;K62&amp;" vCPU and "&amp;K63&amp;" GB RAM. Pega profile: "&amp;K30&amp;IF(K30&lt;&gt;K29," (selected by the customer)",IF(K30="Large"," (searchable data at or above the 2 TB of Pega's large example)"," (searchable data below the 2 TB of Pega's large example)"))&amp;" [P2]. The data-node count is set by this rule: "&amp;K57&amp;"."&amp;IF(K59&gt;0," Alternatively, "&amp;K58&amp;" data nodes with at least "&amp;TEXT(K59,"#,##0")&amp;" GB disk each would hold the data.","")&amp;" Storage for "&amp;TEXT(K45,"#,##0")&amp;" GB of source data with "&amp;K24&amp;" replica(s) is "&amp;TEXT(K46,"#,##0")&amp;" GB [A1]; disk use at the end of the period is "&amp;TEXT(K73,"0%")&amp;" against the 85% low watermark [O3]. "&amp;TEXT(K48,"#,##0")&amp;" shards give "&amp;TEXT(K74,"#,##0")&amp;" per node against a limit of "&amp;TEXT(K75,"#,##0")&amp;" [O3][A2]. SRS on AKS: at least "&amp;K64&amp;" pods [P2].")</f>
        <v/>
      </c>
    </row>
  </sheetData>
  <sheetProtection selectLockedCells="0" selectUnlockedCells="0" sheet="1" objects="0" insertRows="1" insertHyperlinks="1" autoFilter="0" scenarios="0" formatColumns="0" deleteColumns="1" insertColumns="1" pivotTables="1" deleteRows="1" formatCells="0" formatRows="0" sort="0"/>
  <mergeCells count="6">
    <mergeCell ref="C100:K100"/>
    <mergeCell ref="C95:K95"/>
    <mergeCell ref="C98:K98"/>
    <mergeCell ref="C99:K99"/>
    <mergeCell ref="C97:K97"/>
    <mergeCell ref="C96:K96"/>
  </mergeCells>
  <conditionalFormatting sqref="F80:K92">
    <cfRule type="expression" priority="1" dxfId="0">
      <formula>LEFT(F80,4)="FAIL"</formula>
    </cfRule>
    <cfRule type="expression" priority="2" dxfId="1">
      <formula>LEFT(F80,4)="WARN"</formula>
    </cfRule>
    <cfRule type="expression" priority="3" dxfId="2">
      <formula>LEFT(F80,4)="PASS"</formula>
    </cfRule>
    <cfRule type="expression" priority="4" dxfId="3">
      <formula>LEFT(F80,4)="INFO"</formula>
    </cfRule>
  </conditionalFormatting>
  <printOptions horizontalCentered="1"/>
  <pageMargins left="0.75" right="0.75" top="1" bottom="1" header="0.5" footer="0.5"/>
  <pageSetup orientation="landscape" fitToHeight="0" fitToWidth="1"/>
  <headerFooter>
    <oddHeader/>
    <oddFooter>&amp;LPega '26 Kafka and OpenSearch sizing workbook v1.0&amp;C&amp;A  -  page &amp;P of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tabColor rgb="002F5597"/>
    <outlinePr summaryBelow="1" summaryRight="1"/>
    <pageSetUpPr fitToPage="1"/>
  </sheetPr>
  <dimension ref="A1:K68"/>
  <sheetViews>
    <sheetView showGridLines="0" workbookViewId="0">
      <pane xSplit="5" ySplit="4" topLeftCell="F5"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11" customWidth="1" min="3" max="3"/>
    <col width="58" customWidth="1" min="4" max="4"/>
    <col width="9" customWidth="1" min="5" max="5"/>
    <col width="17" customWidth="1" min="6" max="6"/>
    <col width="17" customWidth="1" min="7" max="7"/>
    <col width="17" customWidth="1" min="8" max="8"/>
    <col width="17" customWidth="1" min="9" max="9"/>
    <col width="17" customWidth="1" min="10" max="10"/>
    <col width="17" customWidth="1" min="11" max="11"/>
  </cols>
  <sheetData>
    <row r="1">
      <c r="A1" s="21" t="inlineStr">
        <is>
          <t>8  Confluent Cloud request: send this sheet to Confluent for sizing and price</t>
        </is>
      </c>
    </row>
    <row r="2">
      <c r="A2" s="22" t="inlineStr">
        <is>
          <t>Figures link to the Kafka Sizing sheet. Ask Confluent to confirm the cluster type and units and to price the quantities in Section C.</t>
        </is>
      </c>
    </row>
    <row r="4" ht="30" customHeight="1">
      <c r="A4" s="9" t="inlineStr">
        <is>
          <t>Step</t>
        </is>
      </c>
      <c r="B4" s="9" t="inlineStr">
        <is>
          <t>Item</t>
        </is>
      </c>
      <c r="C4" s="9" t="inlineStr">
        <is>
          <t>Unit</t>
        </is>
      </c>
      <c r="D4" s="9" t="inlineStr">
        <is>
          <t>How it is worked out</t>
        </is>
      </c>
      <c r="E4" s="9" t="inlineStr">
        <is>
          <t>Ref</t>
        </is>
      </c>
      <c r="F4" s="9" t="inlineStr">
        <is>
          <t>K1</t>
        </is>
      </c>
      <c r="G4" s="9" t="inlineStr">
        <is>
          <t>K2</t>
        </is>
      </c>
      <c r="H4" s="9" t="inlineStr">
        <is>
          <t>K3</t>
        </is>
      </c>
      <c r="I4" s="9" t="inlineStr">
        <is>
          <t>K4</t>
        </is>
      </c>
      <c r="J4" s="9" t="inlineStr">
        <is>
          <t>K5</t>
        </is>
      </c>
      <c r="K4" s="9" t="inlineStr">
        <is>
          <t>K6</t>
        </is>
      </c>
    </row>
    <row r="5" ht="16" customHeight="1">
      <c r="A5" s="31" t="inlineStr">
        <is>
          <t>A. Cluster</t>
        </is>
      </c>
      <c r="B5" s="32" t="n"/>
      <c r="C5" s="32" t="n"/>
      <c r="D5" s="32" t="n"/>
      <c r="E5" s="32" t="n"/>
      <c r="F5" s="32" t="n"/>
      <c r="G5" s="32" t="n"/>
      <c r="H5" s="32" t="n"/>
      <c r="I5" s="32" t="n"/>
      <c r="J5" s="32" t="n"/>
      <c r="K5" s="32" t="n"/>
    </row>
    <row r="6" ht="15.5" customHeight="1">
      <c r="A6" s="27" t="inlineStr">
        <is>
          <t>R.01</t>
        </is>
      </c>
      <c r="B6" s="26" t="inlineStr">
        <is>
          <t>Cluster name</t>
        </is>
      </c>
      <c r="C6" s="27" t="inlineStr">
        <is>
          <t>text</t>
        </is>
      </c>
      <c r="D6" s="27" t="inlineStr"/>
      <c r="E6" s="27" t="inlineStr">
        <is>
          <t>-</t>
        </is>
      </c>
      <c r="F6" s="11">
        <f>'6 Kafka Sizing'!F8</f>
        <v/>
      </c>
      <c r="G6" s="11">
        <f>'6 Kafka Sizing'!G8</f>
        <v/>
      </c>
      <c r="H6" s="11">
        <f>'6 Kafka Sizing'!H8</f>
        <v/>
      </c>
      <c r="I6" s="11">
        <f>'6 Kafka Sizing'!I8</f>
        <v/>
      </c>
      <c r="J6" s="11">
        <f>'6 Kafka Sizing'!J8</f>
        <v/>
      </c>
      <c r="K6" s="11">
        <f>'6 Kafka Sizing'!K8</f>
        <v/>
      </c>
    </row>
    <row r="7" ht="15.5" customHeight="1">
      <c r="A7" s="27" t="inlineStr">
        <is>
          <t>R.02</t>
        </is>
      </c>
      <c r="B7" s="26" t="inlineStr">
        <is>
          <t>Azure region</t>
        </is>
      </c>
      <c r="C7" s="27" t="inlineStr">
        <is>
          <t>text</t>
        </is>
      </c>
      <c r="D7" s="27" t="inlineStr"/>
      <c r="E7" s="27" t="inlineStr">
        <is>
          <t>-</t>
        </is>
      </c>
      <c r="F7" s="11">
        <f>IF('6 Kafka Sizing'!F6=0,"-",IF('2 Kafka Clusters'!F7&lt;&gt;"",'2 Kafka Clusters'!F7,IF('1 Setup'!$C$8="","(enter region)",'1 Setup'!$C$8)))</f>
        <v/>
      </c>
      <c r="G7" s="11">
        <f>IF('6 Kafka Sizing'!G6=0,"-",IF('2 Kafka Clusters'!G7&lt;&gt;"",'2 Kafka Clusters'!G7,IF('1 Setup'!$C$8="","(enter region)",'1 Setup'!$C$8)))</f>
        <v/>
      </c>
      <c r="H7" s="11">
        <f>IF('6 Kafka Sizing'!H6=0,"-",IF('2 Kafka Clusters'!H7&lt;&gt;"",'2 Kafka Clusters'!H7,IF('1 Setup'!$C$8="","(enter region)",'1 Setup'!$C$8)))</f>
        <v/>
      </c>
      <c r="I7" s="11">
        <f>IF('6 Kafka Sizing'!I6=0,"-",IF('2 Kafka Clusters'!I7&lt;&gt;"",'2 Kafka Clusters'!I7,IF('1 Setup'!$C$8="","(enter region)",'1 Setup'!$C$8)))</f>
        <v/>
      </c>
      <c r="J7" s="11">
        <f>IF('6 Kafka Sizing'!J6=0,"-",IF('2 Kafka Clusters'!J7&lt;&gt;"",'2 Kafka Clusters'!J7,IF('1 Setup'!$C$8="","(enter region)",'1 Setup'!$C$8)))</f>
        <v/>
      </c>
      <c r="K7" s="11">
        <f>IF('6 Kafka Sizing'!K6=0,"-",IF('2 Kafka Clusters'!K7&lt;&gt;"",'2 Kafka Clusters'!K7,IF('1 Setup'!$C$8="","(enter region)",'1 Setup'!$C$8)))</f>
        <v/>
      </c>
    </row>
    <row r="8" ht="15.5" customHeight="1">
      <c r="A8" s="27" t="inlineStr">
        <is>
          <t>R.03</t>
        </is>
      </c>
      <c r="B8" s="26" t="inlineStr">
        <is>
          <t>Pega environments</t>
        </is>
      </c>
      <c r="C8" s="27" t="inlineStr">
        <is>
          <t>text</t>
        </is>
      </c>
      <c r="D8" s="27" t="inlineStr"/>
      <c r="E8" s="27" t="inlineStr">
        <is>
          <t>-</t>
        </is>
      </c>
      <c r="F8" s="11">
        <f>'6 Kafka Sizing'!F7</f>
        <v/>
      </c>
      <c r="G8" s="11">
        <f>'6 Kafka Sizing'!G7</f>
        <v/>
      </c>
      <c r="H8" s="11">
        <f>'6 Kafka Sizing'!H7</f>
        <v/>
      </c>
      <c r="I8" s="11">
        <f>'6 Kafka Sizing'!I7</f>
        <v/>
      </c>
      <c r="J8" s="11">
        <f>'6 Kafka Sizing'!J7</f>
        <v/>
      </c>
      <c r="K8" s="11">
        <f>'6 Kafka Sizing'!K7</f>
        <v/>
      </c>
    </row>
    <row r="9" ht="15.5" customHeight="1">
      <c r="A9" s="27" t="inlineStr">
        <is>
          <t>R.04</t>
        </is>
      </c>
      <c r="B9" s="26" t="inlineStr">
        <is>
          <t>Requested cluster type</t>
        </is>
      </c>
      <c r="C9" s="27" t="inlineStr">
        <is>
          <t>text</t>
        </is>
      </c>
      <c r="D9" s="27" t="inlineStr"/>
      <c r="E9" s="27" t="inlineStr">
        <is>
          <t>C1</t>
        </is>
      </c>
      <c r="F9" s="12">
        <f>'6 Kafka Sizing'!F67</f>
        <v/>
      </c>
      <c r="G9" s="12">
        <f>'6 Kafka Sizing'!G67</f>
        <v/>
      </c>
      <c r="H9" s="12">
        <f>'6 Kafka Sizing'!H67</f>
        <v/>
      </c>
      <c r="I9" s="12">
        <f>'6 Kafka Sizing'!I67</f>
        <v/>
      </c>
      <c r="J9" s="12">
        <f>'6 Kafka Sizing'!J67</f>
        <v/>
      </c>
      <c r="K9" s="12">
        <f>'6 Kafka Sizing'!K67</f>
        <v/>
      </c>
    </row>
    <row r="10" ht="15.5" customHeight="1">
      <c r="A10" s="27" t="inlineStr">
        <is>
          <t>R.05</t>
        </is>
      </c>
      <c r="B10" s="26" t="inlineStr">
        <is>
          <t>Requested units</t>
        </is>
      </c>
      <c r="C10" s="27" t="inlineStr">
        <is>
          <t>units</t>
        </is>
      </c>
      <c r="D10" s="27" t="inlineStr">
        <is>
          <t>eCKU or CKU as shown below.</t>
        </is>
      </c>
      <c r="E10" s="27" t="inlineStr">
        <is>
          <t>C1</t>
        </is>
      </c>
      <c r="F10" s="46">
        <f>'6 Kafka Sizing'!F70</f>
        <v/>
      </c>
      <c r="G10" s="46">
        <f>'6 Kafka Sizing'!G70</f>
        <v/>
      </c>
      <c r="H10" s="46">
        <f>'6 Kafka Sizing'!H70</f>
        <v/>
      </c>
      <c r="I10" s="46">
        <f>'6 Kafka Sizing'!I70</f>
        <v/>
      </c>
      <c r="J10" s="46">
        <f>'6 Kafka Sizing'!J70</f>
        <v/>
      </c>
      <c r="K10" s="46">
        <f>'6 Kafka Sizing'!K70</f>
        <v/>
      </c>
    </row>
    <row r="11" ht="15.5" customHeight="1">
      <c r="A11" s="27" t="inlineStr">
        <is>
          <t>R.06</t>
        </is>
      </c>
      <c r="B11" s="26" t="inlineStr">
        <is>
          <t>Capacity unit</t>
        </is>
      </c>
      <c r="C11" s="27" t="inlineStr">
        <is>
          <t>text</t>
        </is>
      </c>
      <c r="D11" s="27" t="inlineStr"/>
      <c r="E11" s="27" t="inlineStr">
        <is>
          <t>C1</t>
        </is>
      </c>
      <c r="F11" s="11">
        <f>'6 Kafka Sizing'!F69</f>
        <v/>
      </c>
      <c r="G11" s="11">
        <f>'6 Kafka Sizing'!G69</f>
        <v/>
      </c>
      <c r="H11" s="11">
        <f>'6 Kafka Sizing'!H69</f>
        <v/>
      </c>
      <c r="I11" s="11">
        <f>'6 Kafka Sizing'!I69</f>
        <v/>
      </c>
      <c r="J11" s="11">
        <f>'6 Kafka Sizing'!J69</f>
        <v/>
      </c>
      <c r="K11" s="11">
        <f>'6 Kafka Sizing'!K69</f>
        <v/>
      </c>
    </row>
    <row r="12" ht="15.5" customHeight="1">
      <c r="A12" s="27" t="inlineStr">
        <is>
          <t>R.07</t>
        </is>
      </c>
      <c r="B12" s="26" t="inlineStr">
        <is>
          <t>Required SLA</t>
        </is>
      </c>
      <c r="C12" s="27" t="inlineStr">
        <is>
          <t>%</t>
        </is>
      </c>
      <c r="D12" s="27" t="inlineStr"/>
      <c r="E12" s="27" t="inlineStr">
        <is>
          <t>C1</t>
        </is>
      </c>
      <c r="F12" s="45">
        <f>'6 Kafka Sizing'!F38</f>
        <v/>
      </c>
      <c r="G12" s="45">
        <f>'6 Kafka Sizing'!G38</f>
        <v/>
      </c>
      <c r="H12" s="45">
        <f>'6 Kafka Sizing'!H38</f>
        <v/>
      </c>
      <c r="I12" s="45">
        <f>'6 Kafka Sizing'!I38</f>
        <v/>
      </c>
      <c r="J12" s="45">
        <f>'6 Kafka Sizing'!J38</f>
        <v/>
      </c>
      <c r="K12" s="45">
        <f>'6 Kafka Sizing'!K38</f>
        <v/>
      </c>
    </row>
    <row r="13" ht="15.5" customHeight="1">
      <c r="A13" s="27" t="inlineStr">
        <is>
          <t>R.08</t>
        </is>
      </c>
      <c r="B13" s="26" t="inlineStr">
        <is>
          <t>Private networking (Azure Private Link)</t>
        </is>
      </c>
      <c r="C13" s="27" t="inlineStr">
        <is>
          <t>Yes/No</t>
        </is>
      </c>
      <c r="D13" s="27" t="inlineStr"/>
      <c r="E13" s="27" t="inlineStr">
        <is>
          <t>C1</t>
        </is>
      </c>
      <c r="F13" s="11">
        <f>'6 Kafka Sizing'!F39</f>
        <v/>
      </c>
      <c r="G13" s="11">
        <f>'6 Kafka Sizing'!G39</f>
        <v/>
      </c>
      <c r="H13" s="11">
        <f>'6 Kafka Sizing'!H39</f>
        <v/>
      </c>
      <c r="I13" s="11">
        <f>'6 Kafka Sizing'!I39</f>
        <v/>
      </c>
      <c r="J13" s="11">
        <f>'6 Kafka Sizing'!J39</f>
        <v/>
      </c>
      <c r="K13" s="11">
        <f>'6 Kafka Sizing'!K39</f>
        <v/>
      </c>
    </row>
    <row r="14" ht="15.5" customHeight="1">
      <c r="A14" s="27" t="inlineStr">
        <is>
          <t>R.09</t>
        </is>
      </c>
      <c r="B14" s="26" t="inlineStr">
        <is>
          <t>Self-managed encryption keys</t>
        </is>
      </c>
      <c r="C14" s="27" t="inlineStr">
        <is>
          <t>Yes/No</t>
        </is>
      </c>
      <c r="D14" s="27" t="inlineStr"/>
      <c r="E14" s="27" t="inlineStr">
        <is>
          <t>C4</t>
        </is>
      </c>
      <c r="F14" s="11">
        <f>'6 Kafka Sizing'!F40</f>
        <v/>
      </c>
      <c r="G14" s="11">
        <f>'6 Kafka Sizing'!G40</f>
        <v/>
      </c>
      <c r="H14" s="11">
        <f>'6 Kafka Sizing'!H40</f>
        <v/>
      </c>
      <c r="I14" s="11">
        <f>'6 Kafka Sizing'!I40</f>
        <v/>
      </c>
      <c r="J14" s="11">
        <f>'6 Kafka Sizing'!J40</f>
        <v/>
      </c>
      <c r="K14" s="11">
        <f>'6 Kafka Sizing'!K40</f>
        <v/>
      </c>
    </row>
    <row r="15" ht="15.5" customHeight="1">
      <c r="A15" s="27" t="inlineStr">
        <is>
          <t>R.10</t>
        </is>
      </c>
      <c r="B15" s="26" t="inlineStr">
        <is>
          <t>Multi-zone (if Dedicated)</t>
        </is>
      </c>
      <c r="C15" s="27" t="inlineStr">
        <is>
          <t>Yes/No</t>
        </is>
      </c>
      <c r="D15" s="27" t="inlineStr"/>
      <c r="E15" s="27" t="inlineStr">
        <is>
          <t>C1</t>
        </is>
      </c>
      <c r="F15" s="11">
        <f>'6 Kafka Sizing'!F41</f>
        <v/>
      </c>
      <c r="G15" s="11">
        <f>'6 Kafka Sizing'!G41</f>
        <v/>
      </c>
      <c r="H15" s="11">
        <f>'6 Kafka Sizing'!H41</f>
        <v/>
      </c>
      <c r="I15" s="11">
        <f>'6 Kafka Sizing'!I41</f>
        <v/>
      </c>
      <c r="J15" s="11">
        <f>'6 Kafka Sizing'!J41</f>
        <v/>
      </c>
      <c r="K15" s="11">
        <f>'6 Kafka Sizing'!K41</f>
        <v/>
      </c>
    </row>
    <row r="16" ht="16" customHeight="1">
      <c r="A16" s="31" t="inlineStr">
        <is>
          <t>B. Planned load (includes growth and target utilisation)</t>
        </is>
      </c>
      <c r="B16" s="32" t="n"/>
      <c r="C16" s="32" t="n"/>
      <c r="D16" s="32" t="n"/>
      <c r="E16" s="32" t="n"/>
      <c r="F16" s="32" t="n"/>
      <c r="G16" s="32" t="n"/>
      <c r="H16" s="32" t="n"/>
      <c r="I16" s="32" t="n"/>
      <c r="J16" s="32" t="n"/>
      <c r="K16" s="32" t="n"/>
    </row>
    <row r="17" ht="15.5" customHeight="1">
      <c r="A17" s="27" t="inlineStr">
        <is>
          <t>R.11</t>
        </is>
      </c>
      <c r="B17" s="26" t="inlineStr">
        <is>
          <t>Leader partitions (before replication)</t>
        </is>
      </c>
      <c r="C17" s="27" t="inlineStr">
        <is>
          <t>count</t>
        </is>
      </c>
      <c r="D17" s="27" t="inlineStr"/>
      <c r="E17" s="27" t="inlineStr">
        <is>
          <t>C1</t>
        </is>
      </c>
      <c r="F17" s="38">
        <f>'6 Kafka Sizing'!F31</f>
        <v/>
      </c>
      <c r="G17" s="38">
        <f>'6 Kafka Sizing'!G31</f>
        <v/>
      </c>
      <c r="H17" s="38">
        <f>'6 Kafka Sizing'!H31</f>
        <v/>
      </c>
      <c r="I17" s="38">
        <f>'6 Kafka Sizing'!I31</f>
        <v/>
      </c>
      <c r="J17" s="38">
        <f>'6 Kafka Sizing'!J31</f>
        <v/>
      </c>
      <c r="K17" s="38">
        <f>'6 Kafka Sizing'!K31</f>
        <v/>
      </c>
    </row>
    <row r="18" ht="15.5" customHeight="1">
      <c r="A18" s="27" t="inlineStr">
        <is>
          <t>R.12</t>
        </is>
      </c>
      <c r="B18" s="26" t="inlineStr">
        <is>
          <t>Compacted partitions</t>
        </is>
      </c>
      <c r="C18" s="27" t="inlineStr">
        <is>
          <t>count</t>
        </is>
      </c>
      <c r="D18" s="27" t="inlineStr"/>
      <c r="E18" s="27" t="inlineStr">
        <is>
          <t>C1</t>
        </is>
      </c>
      <c r="F18" s="38">
        <f>'6 Kafka Sizing'!F32</f>
        <v/>
      </c>
      <c r="G18" s="38">
        <f>'6 Kafka Sizing'!G32</f>
        <v/>
      </c>
      <c r="H18" s="38">
        <f>'6 Kafka Sizing'!H32</f>
        <v/>
      </c>
      <c r="I18" s="38">
        <f>'6 Kafka Sizing'!I32</f>
        <v/>
      </c>
      <c r="J18" s="38">
        <f>'6 Kafka Sizing'!J32</f>
        <v/>
      </c>
      <c r="K18" s="38">
        <f>'6 Kafka Sizing'!K32</f>
        <v/>
      </c>
    </row>
    <row r="19" ht="15.5" customHeight="1">
      <c r="A19" s="27" t="inlineStr">
        <is>
          <t>R.13</t>
        </is>
      </c>
      <c r="B19" s="26" t="inlineStr">
        <is>
          <t>Peak ingress</t>
        </is>
      </c>
      <c r="C19" s="27" t="inlineStr">
        <is>
          <t>MBps</t>
        </is>
      </c>
      <c r="D19" s="27" t="inlineStr"/>
      <c r="E19" s="27" t="inlineStr">
        <is>
          <t>C1</t>
        </is>
      </c>
      <c r="F19" s="40">
        <f>'6 Kafka Sizing'!F33</f>
        <v/>
      </c>
      <c r="G19" s="40">
        <f>'6 Kafka Sizing'!G33</f>
        <v/>
      </c>
      <c r="H19" s="40">
        <f>'6 Kafka Sizing'!H33</f>
        <v/>
      </c>
      <c r="I19" s="40">
        <f>'6 Kafka Sizing'!I33</f>
        <v/>
      </c>
      <c r="J19" s="40">
        <f>'6 Kafka Sizing'!J33</f>
        <v/>
      </c>
      <c r="K19" s="40">
        <f>'6 Kafka Sizing'!K33</f>
        <v/>
      </c>
    </row>
    <row r="20" ht="15.5" customHeight="1">
      <c r="A20" s="27" t="inlineStr">
        <is>
          <t>R.14</t>
        </is>
      </c>
      <c r="B20" s="26" t="inlineStr">
        <is>
          <t>Peak egress</t>
        </is>
      </c>
      <c r="C20" s="27" t="inlineStr">
        <is>
          <t>MBps</t>
        </is>
      </c>
      <c r="D20" s="27" t="inlineStr"/>
      <c r="E20" s="27" t="inlineStr">
        <is>
          <t>C1</t>
        </is>
      </c>
      <c r="F20" s="40">
        <f>'6 Kafka Sizing'!F34</f>
        <v/>
      </c>
      <c r="G20" s="40">
        <f>'6 Kafka Sizing'!G34</f>
        <v/>
      </c>
      <c r="H20" s="40">
        <f>'6 Kafka Sizing'!H34</f>
        <v/>
      </c>
      <c r="I20" s="40">
        <f>'6 Kafka Sizing'!I34</f>
        <v/>
      </c>
      <c r="J20" s="40">
        <f>'6 Kafka Sizing'!J34</f>
        <v/>
      </c>
      <c r="K20" s="40">
        <f>'6 Kafka Sizing'!K34</f>
        <v/>
      </c>
    </row>
    <row r="21" ht="15.5" customHeight="1">
      <c r="A21" s="27" t="inlineStr">
        <is>
          <t>R.15</t>
        </is>
      </c>
      <c r="B21" s="26" t="inlineStr">
        <is>
          <t>Peak client connections</t>
        </is>
      </c>
      <c r="C21" s="27" t="inlineStr">
        <is>
          <t>count</t>
        </is>
      </c>
      <c r="D21" s="27" t="inlineStr">
        <is>
          <t>Blank inputs count as 0; see the checks.</t>
        </is>
      </c>
      <c r="E21" s="27" t="inlineStr">
        <is>
          <t>C1</t>
        </is>
      </c>
      <c r="F21" s="38">
        <f>'6 Kafka Sizing'!F35</f>
        <v/>
      </c>
      <c r="G21" s="38">
        <f>'6 Kafka Sizing'!G35</f>
        <v/>
      </c>
      <c r="H21" s="38">
        <f>'6 Kafka Sizing'!H35</f>
        <v/>
      </c>
      <c r="I21" s="38">
        <f>'6 Kafka Sizing'!I35</f>
        <v/>
      </c>
      <c r="J21" s="38">
        <f>'6 Kafka Sizing'!J35</f>
        <v/>
      </c>
      <c r="K21" s="38">
        <f>'6 Kafka Sizing'!K35</f>
        <v/>
      </c>
    </row>
    <row r="22" ht="15.5" customHeight="1">
      <c r="A22" s="27" t="inlineStr">
        <is>
          <t>R.16</t>
        </is>
      </c>
      <c r="B22" s="26" t="inlineStr">
        <is>
          <t>Peak requests per second</t>
        </is>
      </c>
      <c r="C22" s="27" t="inlineStr">
        <is>
          <t>req/s</t>
        </is>
      </c>
      <c r="D22" s="27" t="inlineStr">
        <is>
          <t>Blank inputs count as 0; see the checks.</t>
        </is>
      </c>
      <c r="E22" s="27" t="inlineStr">
        <is>
          <t>C1</t>
        </is>
      </c>
      <c r="F22" s="38">
        <f>'6 Kafka Sizing'!F36</f>
        <v/>
      </c>
      <c r="G22" s="38">
        <f>'6 Kafka Sizing'!G36</f>
        <v/>
      </c>
      <c r="H22" s="38">
        <f>'6 Kafka Sizing'!H36</f>
        <v/>
      </c>
      <c r="I22" s="38">
        <f>'6 Kafka Sizing'!I36</f>
        <v/>
      </c>
      <c r="J22" s="38">
        <f>'6 Kafka Sizing'!J36</f>
        <v/>
      </c>
      <c r="K22" s="38">
        <f>'6 Kafka Sizing'!K36</f>
        <v/>
      </c>
    </row>
    <row r="23" ht="15.5" customHeight="1">
      <c r="A23" s="27" t="inlineStr">
        <is>
          <t>R.17</t>
        </is>
      </c>
      <c r="B23" s="26" t="inlineStr">
        <is>
          <t>Largest message</t>
        </is>
      </c>
      <c r="C23" s="27" t="inlineStr">
        <is>
          <t>bytes</t>
        </is>
      </c>
      <c r="D23" s="27" t="inlineStr">
        <is>
          <t>At least Pega's 5,000,000-byte default.</t>
        </is>
      </c>
      <c r="E23" s="27" t="inlineStr">
        <is>
          <t>P1</t>
        </is>
      </c>
      <c r="F23" s="38">
        <f>MAX('6 Kafka Sizing'!F19,P_MSG_MAX)</f>
        <v/>
      </c>
      <c r="G23" s="38">
        <f>MAX('6 Kafka Sizing'!G19,P_MSG_MAX)</f>
        <v/>
      </c>
      <c r="H23" s="38">
        <f>MAX('6 Kafka Sizing'!H19,P_MSG_MAX)</f>
        <v/>
      </c>
      <c r="I23" s="38">
        <f>MAX('6 Kafka Sizing'!I19,P_MSG_MAX)</f>
        <v/>
      </c>
      <c r="J23" s="38">
        <f>MAX('6 Kafka Sizing'!J19,P_MSG_MAX)</f>
        <v/>
      </c>
      <c r="K23" s="38">
        <f>MAX('6 Kafka Sizing'!K19,P_MSG_MAX)</f>
        <v/>
      </c>
    </row>
    <row r="24" ht="15.5" customHeight="1">
      <c r="A24" s="27" t="inlineStr">
        <is>
          <t>R.18</t>
        </is>
      </c>
      <c r="B24" s="26" t="inlineStr">
        <is>
          <t>Dimension that sets the size</t>
        </is>
      </c>
      <c r="C24" s="27" t="inlineStr">
        <is>
          <t>text</t>
        </is>
      </c>
      <c r="D24" s="27" t="inlineStr"/>
      <c r="E24" s="27" t="inlineStr">
        <is>
          <t>C1</t>
        </is>
      </c>
      <c r="F24" s="11">
        <f>'6 Kafka Sizing'!F79</f>
        <v/>
      </c>
      <c r="G24" s="11">
        <f>'6 Kafka Sizing'!G79</f>
        <v/>
      </c>
      <c r="H24" s="11">
        <f>'6 Kafka Sizing'!H79</f>
        <v/>
      </c>
      <c r="I24" s="11">
        <f>'6 Kafka Sizing'!I79</f>
        <v/>
      </c>
      <c r="J24" s="11">
        <f>'6 Kafka Sizing'!J79</f>
        <v/>
      </c>
      <c r="K24" s="11">
        <f>'6 Kafka Sizing'!K79</f>
        <v/>
      </c>
    </row>
    <row r="25" ht="16" customHeight="1">
      <c r="A25" s="31" t="inlineStr">
        <is>
          <t>C. Monthly quantities for pricing</t>
        </is>
      </c>
      <c r="B25" s="32" t="n"/>
      <c r="C25" s="32" t="n"/>
      <c r="D25" s="32" t="n"/>
      <c r="E25" s="32" t="n"/>
      <c r="F25" s="32" t="n"/>
      <c r="G25" s="32" t="n"/>
      <c r="H25" s="32" t="n"/>
      <c r="I25" s="32" t="n"/>
      <c r="J25" s="32" t="n"/>
      <c r="K25" s="32" t="n"/>
    </row>
    <row r="26" ht="15.5" customHeight="1">
      <c r="A26" s="27" t="inlineStr">
        <is>
          <t>R.19</t>
        </is>
      </c>
      <c r="B26" s="26" t="inlineStr">
        <is>
          <t>Capacity unit-hours (upper bound)</t>
        </is>
      </c>
      <c r="C26" s="27" t="inlineStr">
        <is>
          <t>unit-hours</t>
        </is>
      </c>
      <c r="D26" s="27" t="inlineStr"/>
      <c r="E26" s="27" t="inlineStr">
        <is>
          <t>C2</t>
        </is>
      </c>
      <c r="F26" s="38">
        <f>'6 Kafka Sizing'!F87</f>
        <v/>
      </c>
      <c r="G26" s="38">
        <f>'6 Kafka Sizing'!G87</f>
        <v/>
      </c>
      <c r="H26" s="38">
        <f>'6 Kafka Sizing'!H87</f>
        <v/>
      </c>
      <c r="I26" s="38">
        <f>'6 Kafka Sizing'!I87</f>
        <v/>
      </c>
      <c r="J26" s="38">
        <f>'6 Kafka Sizing'!J87</f>
        <v/>
      </c>
      <c r="K26" s="38">
        <f>'6 Kafka Sizing'!K87</f>
        <v/>
      </c>
    </row>
    <row r="27" ht="15.5" customHeight="1">
      <c r="A27" s="27" t="inlineStr">
        <is>
          <t>R.20</t>
        </is>
      </c>
      <c r="B27" s="26" t="inlineStr">
        <is>
          <t>Ingress</t>
        </is>
      </c>
      <c r="C27" s="27" t="inlineStr">
        <is>
          <t>GiB</t>
        </is>
      </c>
      <c r="D27" s="27" t="inlineStr"/>
      <c r="E27" s="27" t="inlineStr">
        <is>
          <t>C2</t>
        </is>
      </c>
      <c r="F27" s="38">
        <f>'6 Kafka Sizing'!F88</f>
        <v/>
      </c>
      <c r="G27" s="38">
        <f>'6 Kafka Sizing'!G88</f>
        <v/>
      </c>
      <c r="H27" s="38">
        <f>'6 Kafka Sizing'!H88</f>
        <v/>
      </c>
      <c r="I27" s="38">
        <f>'6 Kafka Sizing'!I88</f>
        <v/>
      </c>
      <c r="J27" s="38">
        <f>'6 Kafka Sizing'!J88</f>
        <v/>
      </c>
      <c r="K27" s="38">
        <f>'6 Kafka Sizing'!K88</f>
        <v/>
      </c>
    </row>
    <row r="28" ht="15.5" customHeight="1">
      <c r="A28" s="27" t="inlineStr">
        <is>
          <t>R.21</t>
        </is>
      </c>
      <c r="B28" s="26" t="inlineStr">
        <is>
          <t>Egress</t>
        </is>
      </c>
      <c r="C28" s="27" t="inlineStr">
        <is>
          <t>GiB</t>
        </is>
      </c>
      <c r="D28" s="27" t="inlineStr"/>
      <c r="E28" s="27" t="inlineStr">
        <is>
          <t>C2</t>
        </is>
      </c>
      <c r="F28" s="38">
        <f>'6 Kafka Sizing'!F89</f>
        <v/>
      </c>
      <c r="G28" s="38">
        <f>'6 Kafka Sizing'!G89</f>
        <v/>
      </c>
      <c r="H28" s="38">
        <f>'6 Kafka Sizing'!H89</f>
        <v/>
      </c>
      <c r="I28" s="38">
        <f>'6 Kafka Sizing'!I89</f>
        <v/>
      </c>
      <c r="J28" s="38">
        <f>'6 Kafka Sizing'!J89</f>
        <v/>
      </c>
      <c r="K28" s="38">
        <f>'6 Kafka Sizing'!K89</f>
        <v/>
      </c>
    </row>
    <row r="29" ht="29" customHeight="1">
      <c r="A29" s="27" t="inlineStr">
        <is>
          <t>R.22</t>
        </is>
      </c>
      <c r="B29" s="26" t="inlineStr">
        <is>
          <t>Billed storage after replication (average)</t>
        </is>
      </c>
      <c r="C29" s="27" t="inlineStr">
        <is>
          <t>GiB</t>
        </is>
      </c>
      <c r="D29" s="27" t="inlineStr"/>
      <c r="E29" s="27" t="inlineStr">
        <is>
          <t>C2</t>
        </is>
      </c>
      <c r="F29" s="38">
        <f>'6 Kafka Sizing'!F91</f>
        <v/>
      </c>
      <c r="G29" s="38">
        <f>'6 Kafka Sizing'!G91</f>
        <v/>
      </c>
      <c r="H29" s="38">
        <f>'6 Kafka Sizing'!H91</f>
        <v/>
      </c>
      <c r="I29" s="38">
        <f>'6 Kafka Sizing'!I91</f>
        <v/>
      </c>
      <c r="J29" s="38">
        <f>'6 Kafka Sizing'!J91</f>
        <v/>
      </c>
      <c r="K29" s="38">
        <f>'6 Kafka Sizing'!K91</f>
        <v/>
      </c>
    </row>
    <row r="30" ht="15.5" customHeight="1">
      <c r="A30" s="27" t="inlineStr">
        <is>
          <t>R.23</t>
        </is>
      </c>
      <c r="B30" s="26" t="inlineStr">
        <is>
          <t>Storage</t>
        </is>
      </c>
      <c r="C30" s="27" t="inlineStr">
        <is>
          <t>GiB-hours</t>
        </is>
      </c>
      <c r="D30" s="27" t="inlineStr"/>
      <c r="E30" s="27" t="inlineStr">
        <is>
          <t>C2</t>
        </is>
      </c>
      <c r="F30" s="38">
        <f>'6 Kafka Sizing'!F92</f>
        <v/>
      </c>
      <c r="G30" s="38">
        <f>'6 Kafka Sizing'!G92</f>
        <v/>
      </c>
      <c r="H30" s="38">
        <f>'6 Kafka Sizing'!H92</f>
        <v/>
      </c>
      <c r="I30" s="38">
        <f>'6 Kafka Sizing'!I92</f>
        <v/>
      </c>
      <c r="J30" s="38">
        <f>'6 Kafka Sizing'!J92</f>
        <v/>
      </c>
      <c r="K30" s="38">
        <f>'6 Kafka Sizing'!K92</f>
        <v/>
      </c>
    </row>
    <row r="31" ht="16" customHeight="1">
      <c r="A31" s="31" t="inlineStr">
        <is>
          <t>D. Input quality</t>
        </is>
      </c>
      <c r="B31" s="32" t="n"/>
      <c r="C31" s="32" t="n"/>
      <c r="D31" s="32" t="n"/>
      <c r="E31" s="32" t="n"/>
      <c r="F31" s="32" t="n"/>
      <c r="G31" s="32" t="n"/>
      <c r="H31" s="32" t="n"/>
      <c r="I31" s="32" t="n"/>
      <c r="J31" s="32" t="n"/>
      <c r="K31" s="32" t="n"/>
    </row>
    <row r="32" ht="15.5" customHeight="1">
      <c r="A32" s="27" t="inlineStr">
        <is>
          <t>R.24</t>
        </is>
      </c>
      <c r="B32" s="26" t="inlineStr">
        <is>
          <t>Example inputs still present</t>
        </is>
      </c>
      <c r="C32" s="27" t="inlineStr">
        <is>
          <t>status</t>
        </is>
      </c>
      <c r="D32" s="27" t="inlineStr"/>
      <c r="E32" s="27" t="inlineStr">
        <is>
          <t>-</t>
        </is>
      </c>
      <c r="F32" s="11">
        <f>'6 Kafka Sizing'!F107</f>
        <v/>
      </c>
      <c r="G32" s="11">
        <f>'6 Kafka Sizing'!G107</f>
        <v/>
      </c>
      <c r="H32" s="11">
        <f>'6 Kafka Sizing'!H107</f>
        <v/>
      </c>
      <c r="I32" s="11">
        <f>'6 Kafka Sizing'!I107</f>
        <v/>
      </c>
      <c r="J32" s="11">
        <f>'6 Kafka Sizing'!J107</f>
        <v/>
      </c>
      <c r="K32" s="11">
        <f>'6 Kafka Sizing'!K107</f>
        <v/>
      </c>
    </row>
    <row r="33" ht="15.5" customHeight="1">
      <c r="A33" s="27" t="inlineStr">
        <is>
          <t>R.25</t>
        </is>
      </c>
      <c r="B33" s="26" t="inlineStr">
        <is>
          <t>Connections measured</t>
        </is>
      </c>
      <c r="C33" s="27" t="inlineStr">
        <is>
          <t>status</t>
        </is>
      </c>
      <c r="D33" s="27" t="inlineStr"/>
      <c r="E33" s="27" t="inlineStr">
        <is>
          <t>-</t>
        </is>
      </c>
      <c r="F33" s="11">
        <f>'6 Kafka Sizing'!F108</f>
        <v/>
      </c>
      <c r="G33" s="11">
        <f>'6 Kafka Sizing'!G108</f>
        <v/>
      </c>
      <c r="H33" s="11">
        <f>'6 Kafka Sizing'!H108</f>
        <v/>
      </c>
      <c r="I33" s="11">
        <f>'6 Kafka Sizing'!I108</f>
        <v/>
      </c>
      <c r="J33" s="11">
        <f>'6 Kafka Sizing'!J108</f>
        <v/>
      </c>
      <c r="K33" s="11">
        <f>'6 Kafka Sizing'!K108</f>
        <v/>
      </c>
    </row>
    <row r="34" ht="15.5" customHeight="1">
      <c r="A34" s="27" t="inlineStr">
        <is>
          <t>R.26</t>
        </is>
      </c>
      <c r="B34" s="26" t="inlineStr">
        <is>
          <t>Requests measured</t>
        </is>
      </c>
      <c r="C34" s="27" t="inlineStr">
        <is>
          <t>status</t>
        </is>
      </c>
      <c r="D34" s="27" t="inlineStr"/>
      <c r="E34" s="27" t="inlineStr">
        <is>
          <t>-</t>
        </is>
      </c>
      <c r="F34" s="11">
        <f>'6 Kafka Sizing'!F109</f>
        <v/>
      </c>
      <c r="G34" s="11">
        <f>'6 Kafka Sizing'!G109</f>
        <v/>
      </c>
      <c r="H34" s="11">
        <f>'6 Kafka Sizing'!H109</f>
        <v/>
      </c>
      <c r="I34" s="11">
        <f>'6 Kafka Sizing'!I109</f>
        <v/>
      </c>
      <c r="J34" s="11">
        <f>'6 Kafka Sizing'!J109</f>
        <v/>
      </c>
      <c r="K34" s="11">
        <f>'6 Kafka Sizing'!K109</f>
        <v/>
      </c>
    </row>
    <row r="36">
      <c r="B36" s="51" t="inlineStr">
        <is>
          <t>E. Kafka settings Pega requires [P1]</t>
        </is>
      </c>
    </row>
    <row r="37">
      <c r="B37" s="9" t="inlineStr">
        <is>
          <t>Setting</t>
        </is>
      </c>
      <c r="C37" s="9" t="inlineStr">
        <is>
          <t>Value</t>
        </is>
      </c>
      <c r="D37" s="9" t="inlineStr">
        <is>
          <t>Note for Confluent Cloud</t>
        </is>
      </c>
    </row>
    <row r="38" ht="29" customHeight="1">
      <c r="B38" s="27" t="inlineStr">
        <is>
          <t>message.max.bytes</t>
        </is>
      </c>
      <c r="C38" s="27" t="inlineStr">
        <is>
          <t>5000000</t>
        </is>
      </c>
      <c r="D38" s="27" t="inlineStr">
        <is>
          <t>On Confluent Cloud, set the topic max.message.bytes; the topic default is 2,097,164 [C3].</t>
        </is>
      </c>
      <c r="E38" s="23" t="n"/>
      <c r="F38" s="23" t="n"/>
      <c r="G38" s="23" t="n"/>
      <c r="H38" s="23" t="n"/>
      <c r="I38" s="23" t="n"/>
      <c r="J38" s="23" t="n"/>
      <c r="K38" s="24" t="n"/>
    </row>
    <row r="39" ht="15.5" customHeight="1">
      <c r="B39" s="27" t="inlineStr">
        <is>
          <t>replica.fetch.max.bytes</t>
        </is>
      </c>
      <c r="C39" s="27" t="inlineStr">
        <is>
          <t>5000100</t>
        </is>
      </c>
      <c r="D39" s="27" t="inlineStr">
        <is>
          <t>Broker setting managed by Confluent; confirm the equivalent [C3].</t>
        </is>
      </c>
      <c r="E39" s="23" t="n"/>
      <c r="F39" s="23" t="n"/>
      <c r="G39" s="23" t="n"/>
      <c r="H39" s="23" t="n"/>
      <c r="I39" s="23" t="n"/>
      <c r="J39" s="23" t="n"/>
      <c r="K39" s="24" t="n"/>
    </row>
    <row r="40" ht="15.5" customHeight="1">
      <c r="B40" s="27" t="inlineStr">
        <is>
          <t>replica.fetch.response.max.bytes</t>
        </is>
      </c>
      <c r="C40" s="27" t="inlineStr">
        <is>
          <t>5000100</t>
        </is>
      </c>
      <c r="D40" s="27" t="inlineStr">
        <is>
          <t>Broker setting managed by Confluent; confirm the equivalent [C3].</t>
        </is>
      </c>
      <c r="E40" s="23" t="n"/>
      <c r="F40" s="23" t="n"/>
      <c r="G40" s="23" t="n"/>
      <c r="H40" s="23" t="n"/>
      <c r="I40" s="23" t="n"/>
      <c r="J40" s="23" t="n"/>
      <c r="K40" s="24" t="n"/>
    </row>
    <row r="41" ht="15.5" customHeight="1">
      <c r="B41" s="27" t="inlineStr">
        <is>
          <t>unclean.leader.election.enable</t>
        </is>
      </c>
      <c r="C41" s="27" t="inlineStr">
        <is>
          <t>false</t>
        </is>
      </c>
      <c r="D41" s="27" t="inlineStr">
        <is>
          <t>Confirm with Confluent.</t>
        </is>
      </c>
      <c r="E41" s="23" t="n"/>
      <c r="F41" s="23" t="n"/>
      <c r="G41" s="23" t="n"/>
      <c r="H41" s="23" t="n"/>
      <c r="I41" s="23" t="n"/>
      <c r="J41" s="23" t="n"/>
      <c r="K41" s="24" t="n"/>
    </row>
    <row r="42" ht="15.5" customHeight="1">
      <c r="B42" s="27" t="inlineStr">
        <is>
          <t>auto.create.topics.enable</t>
        </is>
      </c>
      <c r="C42" s="27" t="inlineStr">
        <is>
          <t>false</t>
        </is>
      </c>
      <c r="D42" s="27" t="inlineStr">
        <is>
          <t>Confirm with Confluent.</t>
        </is>
      </c>
      <c r="E42" s="23" t="n"/>
      <c r="F42" s="23" t="n"/>
      <c r="G42" s="23" t="n"/>
      <c r="H42" s="23" t="n"/>
      <c r="I42" s="23" t="n"/>
      <c r="J42" s="23" t="n"/>
      <c r="K42" s="24" t="n"/>
    </row>
    <row r="44">
      <c r="B44" s="51" t="inlineStr">
        <is>
          <t>F. Access control Pega needs for its service account [P1]</t>
        </is>
      </c>
    </row>
    <row r="45">
      <c r="B45" s="9" t="inlineStr">
        <is>
          <t>Resource type</t>
        </is>
      </c>
      <c r="C45" s="9" t="inlineStr">
        <is>
          <t>Pattern</t>
        </is>
      </c>
      <c r="D45" s="9" t="inlineStr">
        <is>
          <t>Operation</t>
        </is>
      </c>
    </row>
    <row r="46" ht="15.5" customHeight="1">
      <c r="B46" s="27" t="inlineStr">
        <is>
          <t>TOPIC</t>
        </is>
      </c>
      <c r="C46" s="27" t="inlineStr">
        <is>
          <t>Prefixed (stream name pattern prefix)</t>
        </is>
      </c>
      <c r="D46" s="27" t="inlineStr">
        <is>
          <t>ALL</t>
        </is>
      </c>
      <c r="E46" s="23" t="n"/>
      <c r="F46" s="23" t="n"/>
      <c r="G46" s="23" t="n"/>
      <c r="H46" s="23" t="n"/>
      <c r="I46" s="23" t="n"/>
      <c r="J46" s="23" t="n"/>
      <c r="K46" s="24" t="n"/>
    </row>
    <row r="47" ht="15.5" customHeight="1">
      <c r="B47" s="27" t="inlineStr">
        <is>
          <t>GROUP</t>
        </is>
      </c>
      <c r="C47" s="27" t="inlineStr">
        <is>
          <t>Prefixed (stream name pattern prefix)</t>
        </is>
      </c>
      <c r="D47" s="27" t="inlineStr">
        <is>
          <t>ALL</t>
        </is>
      </c>
      <c r="E47" s="23" t="n"/>
      <c r="F47" s="23" t="n"/>
      <c r="G47" s="23" t="n"/>
      <c r="H47" s="23" t="n"/>
      <c r="I47" s="23" t="n"/>
      <c r="J47" s="23" t="n"/>
      <c r="K47" s="24" t="n"/>
    </row>
    <row r="48" ht="15.5" customHeight="1">
      <c r="B48" s="27" t="inlineStr">
        <is>
          <t>TRANSACTIONAL_ID</t>
        </is>
      </c>
      <c r="C48" s="27" t="inlineStr">
        <is>
          <t>*</t>
        </is>
      </c>
      <c r="D48" s="27" t="inlineStr">
        <is>
          <t>ALL</t>
        </is>
      </c>
      <c r="E48" s="23" t="n"/>
      <c r="F48" s="23" t="n"/>
      <c r="G48" s="23" t="n"/>
      <c r="H48" s="23" t="n"/>
      <c r="I48" s="23" t="n"/>
      <c r="J48" s="23" t="n"/>
      <c r="K48" s="24" t="n"/>
    </row>
    <row r="49" ht="15.5" customHeight="1">
      <c r="B49" s="27" t="inlineStr">
        <is>
          <t>CLUSTER</t>
        </is>
      </c>
      <c r="C49" s="27" t="inlineStr">
        <is>
          <t>kafka-cluster</t>
        </is>
      </c>
      <c r="D49" s="27" t="inlineStr">
        <is>
          <t>IDEMPOTENT_WRITE</t>
        </is>
      </c>
      <c r="E49" s="23" t="n"/>
      <c r="F49" s="23" t="n"/>
      <c r="G49" s="23" t="n"/>
      <c r="H49" s="23" t="n"/>
      <c r="I49" s="23" t="n"/>
      <c r="J49" s="23" t="n"/>
      <c r="K49" s="24" t="n"/>
    </row>
    <row r="51">
      <c r="B51" s="51" t="inlineStr">
        <is>
          <t>G. Client and topic facts</t>
        </is>
      </c>
    </row>
    <row r="52">
      <c r="B52" s="9" t="inlineStr">
        <is>
          <t>Item</t>
        </is>
      </c>
      <c r="C52" s="9" t="inlineStr">
        <is>
          <t>Value</t>
        </is>
      </c>
      <c r="D52" s="9" t="inlineStr">
        <is>
          <t>Ref</t>
        </is>
      </c>
    </row>
    <row r="53" ht="15.5" customHeight="1">
      <c r="B53" s="27" t="inlineStr">
        <is>
          <t>Kafka client library in Pega Platform '26</t>
        </is>
      </c>
      <c r="C53" s="27" t="inlineStr">
        <is>
          <t>4.0.0 (backward compatible with 3.9.2)</t>
        </is>
      </c>
      <c r="D53" s="27" t="inlineStr">
        <is>
          <t>P6</t>
        </is>
      </c>
      <c r="E53" s="23" t="n"/>
      <c r="F53" s="23" t="n"/>
      <c r="G53" s="23" t="n"/>
      <c r="H53" s="23" t="n"/>
      <c r="I53" s="23" t="n"/>
      <c r="J53" s="23" t="n"/>
      <c r="K53" s="24" t="n"/>
    </row>
    <row r="54" ht="15.5" customHeight="1">
      <c r="B54" s="27" t="inlineStr">
        <is>
          <t>Supported authentication</t>
        </is>
      </c>
      <c r="C54" s="27" t="inlineStr">
        <is>
          <t>SASL/OAUTHBEARER, SASL/PLAIN or SASL/SCRAM</t>
        </is>
      </c>
      <c r="D54" s="27" t="inlineStr">
        <is>
          <t>P1</t>
        </is>
      </c>
      <c r="E54" s="23" t="n"/>
      <c r="F54" s="23" t="n"/>
      <c r="G54" s="23" t="n"/>
      <c r="H54" s="23" t="n"/>
      <c r="I54" s="23" t="n"/>
      <c r="J54" s="23" t="n"/>
      <c r="K54" s="24" t="n"/>
    </row>
    <row r="55" ht="29" customHeight="1">
      <c r="B55" s="27" t="inlineStr">
        <is>
          <t>Replication factor</t>
        </is>
      </c>
      <c r="C55" s="27" t="inlineStr">
        <is>
          <t>3 (Confluent default, not editable); set Pega Helm replicationFactor to 3</t>
        </is>
      </c>
      <c r="D55" s="27" t="inlineStr">
        <is>
          <t>C3, P7</t>
        </is>
      </c>
      <c r="E55" s="23" t="n"/>
      <c r="F55" s="23" t="n"/>
      <c r="G55" s="23" t="n"/>
      <c r="H55" s="23" t="n"/>
      <c r="I55" s="23" t="n"/>
      <c r="J55" s="23" t="n"/>
      <c r="K55" s="24" t="n"/>
    </row>
    <row r="56" ht="15.5" customHeight="1">
      <c r="B56" s="27" t="inlineStr">
        <is>
          <t>Partitions per topic</t>
        </is>
      </c>
      <c r="C56" s="27" t="inlineStr">
        <is>
          <t>6 by default for queue processors and other Pega topics</t>
        </is>
      </c>
      <c r="D56" s="27" t="inlineStr">
        <is>
          <t>P3, P4</t>
        </is>
      </c>
      <c r="E56" s="23" t="n"/>
      <c r="F56" s="23" t="n"/>
      <c r="G56" s="23" t="n"/>
      <c r="H56" s="23" t="n"/>
      <c r="I56" s="23" t="n"/>
      <c r="J56" s="23" t="n"/>
      <c r="K56" s="24" t="n"/>
    </row>
    <row r="57" ht="29" customHeight="1">
      <c r="B57" s="27" t="inlineStr">
        <is>
          <t>Topic naming</t>
        </is>
      </c>
      <c r="C57" s="27" t="inlineStr">
        <is>
          <t>stream.streamNamePattern prefix per environment, for example pega-prd-{stream.name}</t>
        </is>
      </c>
      <c r="D57" s="27" t="inlineStr">
        <is>
          <t>P7</t>
        </is>
      </c>
      <c r="E57" s="23" t="n"/>
      <c r="F57" s="23" t="n"/>
      <c r="G57" s="23" t="n"/>
      <c r="H57" s="23" t="n"/>
      <c r="I57" s="23" t="n"/>
      <c r="J57" s="23" t="n"/>
      <c r="K57" s="24" t="n"/>
    </row>
    <row r="58" ht="15.5" customHeight="1">
      <c r="B58" s="27" t="inlineStr">
        <is>
          <t>Vendor-specific security features</t>
        </is>
      </c>
      <c r="C58" s="27" t="inlineStr">
        <is>
          <t>Not supported by Pega</t>
        </is>
      </c>
      <c r="D58" s="27" t="inlineStr">
        <is>
          <t>P1</t>
        </is>
      </c>
      <c r="E58" s="23" t="n"/>
      <c r="F58" s="23" t="n"/>
      <c r="G58" s="23" t="n"/>
      <c r="H58" s="23" t="n"/>
      <c r="I58" s="23" t="n"/>
      <c r="J58" s="23" t="n"/>
      <c r="K58" s="24" t="n"/>
    </row>
    <row r="60">
      <c r="B60" s="51" t="inlineStr">
        <is>
          <t>H. Questions for Confluent</t>
        </is>
      </c>
    </row>
    <row r="61">
      <c r="B61" s="9" t="inlineStr">
        <is>
          <t>#</t>
        </is>
      </c>
      <c r="C61" s="9" t="inlineStr">
        <is>
          <t>Question</t>
        </is>
      </c>
    </row>
    <row r="62" ht="42.5" customHeight="1">
      <c r="B62" s="27" t="inlineStr">
        <is>
          <t>1</t>
        </is>
      </c>
      <c r="C62" s="27" t="inlineStr">
        <is>
          <t>Confirm the cluster type and units for each cluster, and price the unit-hours, ingress, egress and storage in Section C for the Azure region.</t>
        </is>
      </c>
      <c r="D62" s="23" t="n"/>
      <c r="E62" s="23" t="n"/>
      <c r="F62" s="23" t="n"/>
      <c r="G62" s="23" t="n"/>
      <c r="H62" s="23" t="n"/>
      <c r="I62" s="23" t="n"/>
      <c r="J62" s="23" t="n"/>
      <c r="K62" s="24" t="n"/>
    </row>
    <row r="63" ht="42.5" customHeight="1">
      <c r="B63" s="27" t="inlineStr">
        <is>
          <t>2</t>
        </is>
      </c>
      <c r="C63" s="27" t="inlineStr">
        <is>
          <t>How should topic max.message.bytes be set to at least 5,000,000 on topics that Pega creates dynamically, given the default of 2,097,164? [P1][C3]</t>
        </is>
      </c>
      <c r="D63" s="23" t="n"/>
      <c r="E63" s="23" t="n"/>
      <c r="F63" s="23" t="n"/>
      <c r="G63" s="23" t="n"/>
      <c r="H63" s="23" t="n"/>
      <c r="I63" s="23" t="n"/>
      <c r="J63" s="23" t="n"/>
      <c r="K63" s="24" t="n"/>
    </row>
    <row r="64" ht="29" customHeight="1">
      <c r="B64" s="27" t="inlineStr">
        <is>
          <t>3</t>
        </is>
      </c>
      <c r="C64" s="27" t="inlineStr">
        <is>
          <t>Confirm that unclean leader election is disabled and that topics are not auto-created on the cluster [P1].</t>
        </is>
      </c>
      <c r="D64" s="23" t="n"/>
      <c r="E64" s="23" t="n"/>
      <c r="F64" s="23" t="n"/>
      <c r="G64" s="23" t="n"/>
      <c r="H64" s="23" t="n"/>
      <c r="I64" s="23" t="n"/>
      <c r="J64" s="23" t="n"/>
      <c r="K64" s="24" t="n"/>
    </row>
    <row r="65" ht="29" customHeight="1">
      <c r="B65" s="27" t="inlineStr">
        <is>
          <t>4</t>
        </is>
      </c>
      <c r="C65" s="27" t="inlineStr">
        <is>
          <t>Confirm compatibility with the Kafka 4.0.0 client library shipped with Pega Platform '26 [P6].</t>
        </is>
      </c>
      <c r="D65" s="23" t="n"/>
      <c r="E65" s="23" t="n"/>
      <c r="F65" s="23" t="n"/>
      <c r="G65" s="23" t="n"/>
      <c r="H65" s="23" t="n"/>
      <c r="I65" s="23" t="n"/>
      <c r="J65" s="23" t="n"/>
      <c r="K65" s="24" t="n"/>
    </row>
    <row r="66" ht="42.5" customHeight="1">
      <c r="B66" s="27" t="inlineStr">
        <is>
          <t>5</t>
        </is>
      </c>
      <c r="C66" s="27" t="inlineStr">
        <is>
          <t>Confirm Azure Private Link and self-managed key support for the requested type, and any unit limit that applies with Private Link [C1][C4].</t>
        </is>
      </c>
      <c r="D66" s="23" t="n"/>
      <c r="E66" s="23" t="n"/>
      <c r="F66" s="23" t="n"/>
      <c r="G66" s="23" t="n"/>
      <c r="H66" s="23" t="n"/>
      <c r="I66" s="23" t="n"/>
      <c r="J66" s="23" t="n"/>
      <c r="K66" s="24" t="n"/>
    </row>
    <row r="67" ht="42.5" customHeight="1">
      <c r="B67" s="27" t="inlineStr">
        <is>
          <t>6</t>
        </is>
      </c>
      <c r="C67" s="27" t="inlineStr">
        <is>
          <t>Confirm how the partition, connection, connection-attempt and request limits are enforced for the requested type, including during rolling restarts of all Pega pods [C1].</t>
        </is>
      </c>
      <c r="D67" s="23" t="n"/>
      <c r="E67" s="23" t="n"/>
      <c r="F67" s="23" t="n"/>
      <c r="G67" s="23" t="n"/>
      <c r="H67" s="23" t="n"/>
      <c r="I67" s="23" t="n"/>
      <c r="J67" s="23" t="n"/>
      <c r="K67" s="24" t="n"/>
    </row>
    <row r="68" ht="29" customHeight="1">
      <c r="B68" s="27" t="inlineStr">
        <is>
          <t>7</t>
        </is>
      </c>
      <c r="C68" s="27" t="inlineStr">
        <is>
          <t>Where the partition count drives the size, confirm the per-unit partition limit and any option to raise it [C1].</t>
        </is>
      </c>
      <c r="D68" s="23" t="n"/>
      <c r="E68" s="23" t="n"/>
      <c r="F68" s="23" t="n"/>
      <c r="G68" s="23" t="n"/>
      <c r="H68" s="23" t="n"/>
      <c r="I68" s="23" t="n"/>
      <c r="J68" s="23" t="n"/>
      <c r="K68" s="24" t="n"/>
    </row>
  </sheetData>
  <sheetProtection selectLockedCells="0" selectUnlockedCells="0" sheet="1" objects="0" insertRows="1" insertHyperlinks="1" autoFilter="0" scenarios="0" formatColumns="0" deleteColumns="1" insertColumns="1" pivotTables="1" deleteRows="1" formatCells="0" formatRows="0" sort="0"/>
  <mergeCells count="22">
    <mergeCell ref="C63:K63"/>
    <mergeCell ref="C65:K65"/>
    <mergeCell ref="D46:K46"/>
    <mergeCell ref="D40:K40"/>
    <mergeCell ref="D49:K49"/>
    <mergeCell ref="D57:K57"/>
    <mergeCell ref="D41:K41"/>
    <mergeCell ref="D48:K48"/>
    <mergeCell ref="C67:K67"/>
    <mergeCell ref="D53:K53"/>
    <mergeCell ref="D47:K47"/>
    <mergeCell ref="C66:K66"/>
    <mergeCell ref="D58:K58"/>
    <mergeCell ref="C62:K62"/>
    <mergeCell ref="D56:K56"/>
    <mergeCell ref="C68:K68"/>
    <mergeCell ref="D39:K39"/>
    <mergeCell ref="D55:K55"/>
    <mergeCell ref="D42:K42"/>
    <mergeCell ref="D38:K38"/>
    <mergeCell ref="C64:K64"/>
    <mergeCell ref="D54:K54"/>
  </mergeCells>
  <conditionalFormatting sqref="F32:K34">
    <cfRule type="expression" priority="1" dxfId="0">
      <formula>LEFT(F32,4)="FAIL"</formula>
    </cfRule>
    <cfRule type="expression" priority="2" dxfId="1">
      <formula>LEFT(F32,4)="WARN"</formula>
    </cfRule>
    <cfRule type="expression" priority="3" dxfId="2">
      <formula>LEFT(F32,4)="PASS"</formula>
    </cfRule>
    <cfRule type="expression" priority="4" dxfId="3">
      <formula>LEFT(F32,4)="INFO"</formula>
    </cfRule>
  </conditionalFormatting>
  <printOptions horizontalCentered="1"/>
  <pageMargins left="0.75" right="0.75" top="1" bottom="1" header="0.5" footer="0.5"/>
  <pageSetup orientation="landscape" fitToHeight="0" fitToWidth="1"/>
  <headerFooter>
    <oddHeader/>
    <oddFooter>&amp;LPega '26 Kafka and OpenSearch sizing workbook v1.0&amp;C&amp;A  -  page &amp;P of &amp;N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tabColor rgb="002F5597"/>
    <outlinePr summaryBelow="1" summaryRight="1"/>
    <pageSetUpPr fitToPage="1"/>
  </sheetPr>
  <dimension ref="A1:K47"/>
  <sheetViews>
    <sheetView showGridLines="0" workbookViewId="0">
      <pane xSplit="5" ySplit="4" topLeftCell="F5"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11" customWidth="1" min="3" max="3"/>
    <col width="58" customWidth="1" min="4" max="4"/>
    <col width="9" customWidth="1" min="5" max="5"/>
    <col width="17" customWidth="1" min="6" max="6"/>
    <col width="17" customWidth="1" min="7" max="7"/>
    <col width="17" customWidth="1" min="8" max="8"/>
    <col width="17" customWidth="1" min="9" max="9"/>
    <col width="17" customWidth="1" min="10" max="10"/>
    <col width="17" customWidth="1" min="11" max="11"/>
  </cols>
  <sheetData>
    <row r="1">
      <c r="A1" s="21" t="inlineStr">
        <is>
          <t>9  Search request: send this sheet to the managed OpenSearch provider</t>
        </is>
      </c>
    </row>
    <row r="2">
      <c r="A2" s="22" t="inlineStr">
        <is>
          <t>Figures link to the Search Sizing sheet. Ask the provider to confirm the node sizes, apply its own storage overhead and price the service.</t>
        </is>
      </c>
    </row>
    <row r="4" ht="30" customHeight="1">
      <c r="A4" s="9" t="inlineStr">
        <is>
          <t>Step</t>
        </is>
      </c>
      <c r="B4" s="9" t="inlineStr">
        <is>
          <t>Item</t>
        </is>
      </c>
      <c r="C4" s="9" t="inlineStr">
        <is>
          <t>Unit</t>
        </is>
      </c>
      <c r="D4" s="9" t="inlineStr">
        <is>
          <t>How it is worked out</t>
        </is>
      </c>
      <c r="E4" s="9" t="inlineStr">
        <is>
          <t>Ref</t>
        </is>
      </c>
      <c r="F4" s="9" t="inlineStr">
        <is>
          <t>S1</t>
        </is>
      </c>
      <c r="G4" s="9" t="inlineStr">
        <is>
          <t>S2</t>
        </is>
      </c>
      <c r="H4" s="9" t="inlineStr">
        <is>
          <t>S3</t>
        </is>
      </c>
      <c r="I4" s="9" t="inlineStr">
        <is>
          <t>S4</t>
        </is>
      </c>
      <c r="J4" s="9" t="inlineStr">
        <is>
          <t>S5</t>
        </is>
      </c>
      <c r="K4" s="9" t="inlineStr">
        <is>
          <t>S6</t>
        </is>
      </c>
    </row>
    <row r="5" ht="16" customHeight="1">
      <c r="A5" s="31" t="inlineStr">
        <is>
          <t>A. Service</t>
        </is>
      </c>
      <c r="B5" s="32" t="n"/>
      <c r="C5" s="32" t="n"/>
      <c r="D5" s="32" t="n"/>
      <c r="E5" s="32" t="n"/>
      <c r="F5" s="32" t="n"/>
      <c r="G5" s="32" t="n"/>
      <c r="H5" s="32" t="n"/>
      <c r="I5" s="32" t="n"/>
      <c r="J5" s="32" t="n"/>
      <c r="K5" s="32" t="n"/>
    </row>
    <row r="6" ht="15.5" customHeight="1">
      <c r="A6" s="27" t="inlineStr">
        <is>
          <t>R.01</t>
        </is>
      </c>
      <c r="B6" s="26" t="inlineStr">
        <is>
          <t>Service name</t>
        </is>
      </c>
      <c r="C6" s="27" t="inlineStr">
        <is>
          <t>text</t>
        </is>
      </c>
      <c r="D6" s="27" t="inlineStr"/>
      <c r="E6" s="27" t="inlineStr">
        <is>
          <t>-</t>
        </is>
      </c>
      <c r="F6" s="11">
        <f>'7 Search Sizing'!F8</f>
        <v/>
      </c>
      <c r="G6" s="11">
        <f>'7 Search Sizing'!G8</f>
        <v/>
      </c>
      <c r="H6" s="11">
        <f>'7 Search Sizing'!H8</f>
        <v/>
      </c>
      <c r="I6" s="11">
        <f>'7 Search Sizing'!I8</f>
        <v/>
      </c>
      <c r="J6" s="11">
        <f>'7 Search Sizing'!J8</f>
        <v/>
      </c>
      <c r="K6" s="11">
        <f>'7 Search Sizing'!K8</f>
        <v/>
      </c>
    </row>
    <row r="7" ht="15.5" customHeight="1">
      <c r="A7" s="27" t="inlineStr">
        <is>
          <t>R.02</t>
        </is>
      </c>
      <c r="B7" s="26" t="inlineStr">
        <is>
          <t>Azure region</t>
        </is>
      </c>
      <c r="C7" s="27" t="inlineStr">
        <is>
          <t>text</t>
        </is>
      </c>
      <c r="D7" s="27" t="inlineStr"/>
      <c r="E7" s="27" t="inlineStr">
        <is>
          <t>-</t>
        </is>
      </c>
      <c r="F7" s="11">
        <f>IF('7 Search Sizing'!F6=0,"-",IF('4 Search Services'!F7&lt;&gt;"",'4 Search Services'!F7,IF('1 Setup'!$C$8="","(enter region)",'1 Setup'!$C$8)))</f>
        <v/>
      </c>
      <c r="G7" s="11">
        <f>IF('7 Search Sizing'!G6=0,"-",IF('4 Search Services'!G7&lt;&gt;"",'4 Search Services'!G7,IF('1 Setup'!$C$8="","(enter region)",'1 Setup'!$C$8)))</f>
        <v/>
      </c>
      <c r="H7" s="11">
        <f>IF('7 Search Sizing'!H6=0,"-",IF('4 Search Services'!H7&lt;&gt;"",'4 Search Services'!H7,IF('1 Setup'!$C$8="","(enter region)",'1 Setup'!$C$8)))</f>
        <v/>
      </c>
      <c r="I7" s="11">
        <f>IF('7 Search Sizing'!I6=0,"-",IF('4 Search Services'!I7&lt;&gt;"",'4 Search Services'!I7,IF('1 Setup'!$C$8="","(enter region)",'1 Setup'!$C$8)))</f>
        <v/>
      </c>
      <c r="J7" s="11">
        <f>IF('7 Search Sizing'!J6=0,"-",IF('4 Search Services'!J7&lt;&gt;"",'4 Search Services'!J7,IF('1 Setup'!$C$8="","(enter region)",'1 Setup'!$C$8)))</f>
        <v/>
      </c>
      <c r="K7" s="11">
        <f>IF('7 Search Sizing'!K6=0,"-",IF('4 Search Services'!K7&lt;&gt;"",'4 Search Services'!K7,IF('1 Setup'!$C$8="","(enter region)",'1 Setup'!$C$8)))</f>
        <v/>
      </c>
    </row>
    <row r="8" ht="15.5" customHeight="1">
      <c r="A8" s="27" t="inlineStr">
        <is>
          <t>R.03</t>
        </is>
      </c>
      <c r="B8" s="26" t="inlineStr">
        <is>
          <t>Pega environments</t>
        </is>
      </c>
      <c r="C8" s="27" t="inlineStr">
        <is>
          <t>text</t>
        </is>
      </c>
      <c r="D8" s="27" t="inlineStr"/>
      <c r="E8" s="27" t="inlineStr">
        <is>
          <t>-</t>
        </is>
      </c>
      <c r="F8" s="11">
        <f>'7 Search Sizing'!F7</f>
        <v/>
      </c>
      <c r="G8" s="11">
        <f>'7 Search Sizing'!G7</f>
        <v/>
      </c>
      <c r="H8" s="11">
        <f>'7 Search Sizing'!H7</f>
        <v/>
      </c>
      <c r="I8" s="11">
        <f>'7 Search Sizing'!I7</f>
        <v/>
      </c>
      <c r="J8" s="11">
        <f>'7 Search Sizing'!J7</f>
        <v/>
      </c>
      <c r="K8" s="11">
        <f>'7 Search Sizing'!K7</f>
        <v/>
      </c>
    </row>
    <row r="9" ht="15.5" customHeight="1">
      <c r="A9" s="27" t="inlineStr">
        <is>
          <t>R.04</t>
        </is>
      </c>
      <c r="B9" s="26" t="inlineStr">
        <is>
          <t>Engine version requested</t>
        </is>
      </c>
      <c r="C9" s="27" t="inlineStr">
        <is>
          <t>text</t>
        </is>
      </c>
      <c r="D9" s="27" t="inlineStr">
        <is>
          <t>Pega best practice.</t>
        </is>
      </c>
      <c r="E9" s="27" t="inlineStr">
        <is>
          <t>P2</t>
        </is>
      </c>
      <c r="F9" s="11">
        <f>IF('7 Search Sizing'!F6=0,"-","OpenSearch 2.15 (1.3 and 2.19 also supported)")</f>
        <v/>
      </c>
      <c r="G9" s="11">
        <f>IF('7 Search Sizing'!G6=0,"-","OpenSearch 2.15 (1.3 and 2.19 also supported)")</f>
        <v/>
      </c>
      <c r="H9" s="11">
        <f>IF('7 Search Sizing'!H6=0,"-","OpenSearch 2.15 (1.3 and 2.19 also supported)")</f>
        <v/>
      </c>
      <c r="I9" s="11">
        <f>IF('7 Search Sizing'!I6=0,"-","OpenSearch 2.15 (1.3 and 2.19 also supported)")</f>
        <v/>
      </c>
      <c r="J9" s="11">
        <f>IF('7 Search Sizing'!J6=0,"-","OpenSearch 2.15 (1.3 and 2.19 also supported)")</f>
        <v/>
      </c>
      <c r="K9" s="11">
        <f>IF('7 Search Sizing'!K6=0,"-","OpenSearch 2.15 (1.3 and 2.19 also supported)")</f>
        <v/>
      </c>
    </row>
    <row r="10" ht="15.5" customHeight="1">
      <c r="A10" s="27" t="inlineStr">
        <is>
          <t>R.05</t>
        </is>
      </c>
      <c r="B10" s="26" t="inlineStr">
        <is>
          <t>High availability</t>
        </is>
      </c>
      <c r="C10" s="27" t="inlineStr">
        <is>
          <t>Yes/No</t>
        </is>
      </c>
      <c r="D10" s="27" t="inlineStr"/>
      <c r="E10" s="27" t="inlineStr">
        <is>
          <t>P2</t>
        </is>
      </c>
      <c r="F10" s="11">
        <f>'7 Search Sizing'!F22</f>
        <v/>
      </c>
      <c r="G10" s="11">
        <f>'7 Search Sizing'!G22</f>
        <v/>
      </c>
      <c r="H10" s="11">
        <f>'7 Search Sizing'!H22</f>
        <v/>
      </c>
      <c r="I10" s="11">
        <f>'7 Search Sizing'!I22</f>
        <v/>
      </c>
      <c r="J10" s="11">
        <f>'7 Search Sizing'!J22</f>
        <v/>
      </c>
      <c r="K10" s="11">
        <f>'7 Search Sizing'!K22</f>
        <v/>
      </c>
    </row>
    <row r="11" ht="15.5" customHeight="1">
      <c r="A11" s="27" t="inlineStr">
        <is>
          <t>R.06</t>
        </is>
      </c>
      <c r="B11" s="26" t="inlineStr">
        <is>
          <t>Availability zones</t>
        </is>
      </c>
      <c r="C11" s="27" t="inlineStr">
        <is>
          <t>count</t>
        </is>
      </c>
      <c r="D11" s="27" t="inlineStr"/>
      <c r="E11" s="27" t="inlineStr">
        <is>
          <t>O1</t>
        </is>
      </c>
      <c r="F11" s="35">
        <f>'7 Search Sizing'!F23</f>
        <v/>
      </c>
      <c r="G11" s="35">
        <f>'7 Search Sizing'!G23</f>
        <v/>
      </c>
      <c r="H11" s="35">
        <f>'7 Search Sizing'!H23</f>
        <v/>
      </c>
      <c r="I11" s="35">
        <f>'7 Search Sizing'!I23</f>
        <v/>
      </c>
      <c r="J11" s="35">
        <f>'7 Search Sizing'!J23</f>
        <v/>
      </c>
      <c r="K11" s="35">
        <f>'7 Search Sizing'!K23</f>
        <v/>
      </c>
    </row>
    <row r="12" ht="15.5" customHeight="1">
      <c r="A12" s="27" t="inlineStr">
        <is>
          <t>R.07</t>
        </is>
      </c>
      <c r="B12" s="26" t="inlineStr">
        <is>
          <t>Private connectivity</t>
        </is>
      </c>
      <c r="C12" s="27" t="inlineStr">
        <is>
          <t>Yes/No</t>
        </is>
      </c>
      <c r="D12" s="27" t="inlineStr"/>
      <c r="E12" s="27" t="inlineStr">
        <is>
          <t>-</t>
        </is>
      </c>
      <c r="F12" s="11">
        <f>IF('7 Search Sizing'!F6=0,"-",'4 Search Services'!F23)</f>
        <v/>
      </c>
      <c r="G12" s="11">
        <f>IF('7 Search Sizing'!G6=0,"-",'4 Search Services'!G23)</f>
        <v/>
      </c>
      <c r="H12" s="11">
        <f>IF('7 Search Sizing'!H6=0,"-",'4 Search Services'!H23)</f>
        <v/>
      </c>
      <c r="I12" s="11">
        <f>IF('7 Search Sizing'!I6=0,"-",'4 Search Services'!I23)</f>
        <v/>
      </c>
      <c r="J12" s="11">
        <f>IF('7 Search Sizing'!J6=0,"-",'4 Search Services'!J23)</f>
        <v/>
      </c>
      <c r="K12" s="11">
        <f>IF('7 Search Sizing'!K6=0,"-",'4 Search Services'!K23)</f>
        <v/>
      </c>
    </row>
    <row r="13" ht="15.5" customHeight="1">
      <c r="A13" s="27" t="inlineStr">
        <is>
          <t>R.08</t>
        </is>
      </c>
      <c r="B13" s="26" t="inlineStr">
        <is>
          <t>Customer-managed key</t>
        </is>
      </c>
      <c r="C13" s="27" t="inlineStr">
        <is>
          <t>Yes/No</t>
        </is>
      </c>
      <c r="D13" s="27" t="inlineStr"/>
      <c r="E13" s="27" t="inlineStr">
        <is>
          <t>-</t>
        </is>
      </c>
      <c r="F13" s="11">
        <f>IF('7 Search Sizing'!F6=0,"-",'4 Search Services'!F24)</f>
        <v/>
      </c>
      <c r="G13" s="11">
        <f>IF('7 Search Sizing'!G6=0,"-",'4 Search Services'!G24)</f>
        <v/>
      </c>
      <c r="H13" s="11">
        <f>IF('7 Search Sizing'!H6=0,"-",'4 Search Services'!H24)</f>
        <v/>
      </c>
      <c r="I13" s="11">
        <f>IF('7 Search Sizing'!I6=0,"-",'4 Search Services'!I24)</f>
        <v/>
      </c>
      <c r="J13" s="11">
        <f>IF('7 Search Sizing'!J6=0,"-",'4 Search Services'!J24)</f>
        <v/>
      </c>
      <c r="K13" s="11">
        <f>IF('7 Search Sizing'!K6=0,"-",'4 Search Services'!K24)</f>
        <v/>
      </c>
    </row>
    <row r="14" ht="16" customHeight="1">
      <c r="A14" s="31" t="inlineStr">
        <is>
          <t>B. Nodes</t>
        </is>
      </c>
      <c r="B14" s="32" t="n"/>
      <c r="C14" s="32" t="n"/>
      <c r="D14" s="32" t="n"/>
      <c r="E14" s="32" t="n"/>
      <c r="F14" s="32" t="n"/>
      <c r="G14" s="32" t="n"/>
      <c r="H14" s="32" t="n"/>
      <c r="I14" s="32" t="n"/>
      <c r="J14" s="32" t="n"/>
      <c r="K14" s="32" t="n"/>
    </row>
    <row r="15" ht="15.5" customHeight="1">
      <c r="A15" s="27" t="inlineStr">
        <is>
          <t>R.09</t>
        </is>
      </c>
      <c r="B15" s="26" t="inlineStr">
        <is>
          <t>Data nodes</t>
        </is>
      </c>
      <c r="C15" s="27" t="inlineStr">
        <is>
          <t>nodes</t>
        </is>
      </c>
      <c r="D15" s="27" t="inlineStr"/>
      <c r="E15" s="27" t="inlineStr">
        <is>
          <t>P2</t>
        </is>
      </c>
      <c r="F15" s="46">
        <f>'7 Search Sizing'!F56</f>
        <v/>
      </c>
      <c r="G15" s="46">
        <f>'7 Search Sizing'!G56</f>
        <v/>
      </c>
      <c r="H15" s="46">
        <f>'7 Search Sizing'!H56</f>
        <v/>
      </c>
      <c r="I15" s="46">
        <f>'7 Search Sizing'!I56</f>
        <v/>
      </c>
      <c r="J15" s="46">
        <f>'7 Search Sizing'!J56</f>
        <v/>
      </c>
      <c r="K15" s="46">
        <f>'7 Search Sizing'!K56</f>
        <v/>
      </c>
    </row>
    <row r="16" ht="15.5" customHeight="1">
      <c r="A16" s="27" t="inlineStr">
        <is>
          <t>R.10</t>
        </is>
      </c>
      <c r="B16" s="26" t="inlineStr">
        <is>
          <t>Data node vCPU</t>
        </is>
      </c>
      <c r="C16" s="27" t="inlineStr">
        <is>
          <t>vCPU</t>
        </is>
      </c>
      <c r="D16" s="27" t="inlineStr"/>
      <c r="E16" s="27" t="inlineStr">
        <is>
          <t>P2</t>
        </is>
      </c>
      <c r="F16" s="46">
        <f>'7 Search Sizing'!F40</f>
        <v/>
      </c>
      <c r="G16" s="46">
        <f>'7 Search Sizing'!G40</f>
        <v/>
      </c>
      <c r="H16" s="46">
        <f>'7 Search Sizing'!H40</f>
        <v/>
      </c>
      <c r="I16" s="46">
        <f>'7 Search Sizing'!I40</f>
        <v/>
      </c>
      <c r="J16" s="46">
        <f>'7 Search Sizing'!J40</f>
        <v/>
      </c>
      <c r="K16" s="46">
        <f>'7 Search Sizing'!K40</f>
        <v/>
      </c>
    </row>
    <row r="17" ht="15.5" customHeight="1">
      <c r="A17" s="27" t="inlineStr">
        <is>
          <t>R.11</t>
        </is>
      </c>
      <c r="B17" s="26" t="inlineStr">
        <is>
          <t>Data node RAM</t>
        </is>
      </c>
      <c r="C17" s="27" t="inlineStr">
        <is>
          <t>GB</t>
        </is>
      </c>
      <c r="D17" s="27" t="inlineStr"/>
      <c r="E17" s="27" t="inlineStr">
        <is>
          <t>P2</t>
        </is>
      </c>
      <c r="F17" s="46">
        <f>'7 Search Sizing'!F41</f>
        <v/>
      </c>
      <c r="G17" s="46">
        <f>'7 Search Sizing'!G41</f>
        <v/>
      </c>
      <c r="H17" s="46">
        <f>'7 Search Sizing'!H41</f>
        <v/>
      </c>
      <c r="I17" s="46">
        <f>'7 Search Sizing'!I41</f>
        <v/>
      </c>
      <c r="J17" s="46">
        <f>'7 Search Sizing'!J41</f>
        <v/>
      </c>
      <c r="K17" s="46">
        <f>'7 Search Sizing'!K41</f>
        <v/>
      </c>
    </row>
    <row r="18" ht="15.5" customHeight="1">
      <c r="A18" s="27" t="inlineStr">
        <is>
          <t>R.12</t>
        </is>
      </c>
      <c r="B18" s="26" t="inlineStr">
        <is>
          <t>Data node disk</t>
        </is>
      </c>
      <c r="C18" s="27" t="inlineStr">
        <is>
          <t>GB</t>
        </is>
      </c>
      <c r="D18" s="27" t="inlineStr"/>
      <c r="E18" s="27" t="inlineStr">
        <is>
          <t>P2</t>
        </is>
      </c>
      <c r="F18" s="47">
        <f>'7 Search Sizing'!F42</f>
        <v/>
      </c>
      <c r="G18" s="47">
        <f>'7 Search Sizing'!G42</f>
        <v/>
      </c>
      <c r="H18" s="47">
        <f>'7 Search Sizing'!H42</f>
        <v/>
      </c>
      <c r="I18" s="47">
        <f>'7 Search Sizing'!I42</f>
        <v/>
      </c>
      <c r="J18" s="47">
        <f>'7 Search Sizing'!J42</f>
        <v/>
      </c>
      <c r="K18" s="47">
        <f>'7 Search Sizing'!K42</f>
        <v/>
      </c>
    </row>
    <row r="19" ht="15.5" customHeight="1">
      <c r="A19" s="27" t="inlineStr">
        <is>
          <t>R.13</t>
        </is>
      </c>
      <c r="B19" s="26" t="inlineStr">
        <is>
          <t>Dedicated cluster manager nodes</t>
        </is>
      </c>
      <c r="C19" s="27" t="inlineStr">
        <is>
          <t>nodes</t>
        </is>
      </c>
      <c r="D19" s="27" t="inlineStr"/>
      <c r="E19" s="27" t="inlineStr">
        <is>
          <t>P2, O1</t>
        </is>
      </c>
      <c r="F19" s="46">
        <f>'7 Search Sizing'!F61</f>
        <v/>
      </c>
      <c r="G19" s="46">
        <f>'7 Search Sizing'!G61</f>
        <v/>
      </c>
      <c r="H19" s="46">
        <f>'7 Search Sizing'!H61</f>
        <v/>
      </c>
      <c r="I19" s="46">
        <f>'7 Search Sizing'!I61</f>
        <v/>
      </c>
      <c r="J19" s="46">
        <f>'7 Search Sizing'!J61</f>
        <v/>
      </c>
      <c r="K19" s="46">
        <f>'7 Search Sizing'!K61</f>
        <v/>
      </c>
    </row>
    <row r="20" ht="15.5" customHeight="1">
      <c r="A20" s="27" t="inlineStr">
        <is>
          <t>R.14</t>
        </is>
      </c>
      <c r="B20" s="26" t="inlineStr">
        <is>
          <t>Cluster manager vCPU</t>
        </is>
      </c>
      <c r="C20" s="27" t="inlineStr">
        <is>
          <t>vCPU</t>
        </is>
      </c>
      <c r="D20" s="27" t="inlineStr"/>
      <c r="E20" s="27" t="inlineStr">
        <is>
          <t>P2</t>
        </is>
      </c>
      <c r="F20" s="35">
        <f>'7 Search Sizing'!F62</f>
        <v/>
      </c>
      <c r="G20" s="35">
        <f>'7 Search Sizing'!G62</f>
        <v/>
      </c>
      <c r="H20" s="35">
        <f>'7 Search Sizing'!H62</f>
        <v/>
      </c>
      <c r="I20" s="35">
        <f>'7 Search Sizing'!I62</f>
        <v/>
      </c>
      <c r="J20" s="35">
        <f>'7 Search Sizing'!J62</f>
        <v/>
      </c>
      <c r="K20" s="35">
        <f>'7 Search Sizing'!K62</f>
        <v/>
      </c>
    </row>
    <row r="21" ht="15.5" customHeight="1">
      <c r="A21" s="27" t="inlineStr">
        <is>
          <t>R.15</t>
        </is>
      </c>
      <c r="B21" s="26" t="inlineStr">
        <is>
          <t>Cluster manager RAM</t>
        </is>
      </c>
      <c r="C21" s="27" t="inlineStr">
        <is>
          <t>GB</t>
        </is>
      </c>
      <c r="D21" s="27" t="inlineStr"/>
      <c r="E21" s="27" t="inlineStr">
        <is>
          <t>P2</t>
        </is>
      </c>
      <c r="F21" s="35">
        <f>'7 Search Sizing'!F63</f>
        <v/>
      </c>
      <c r="G21" s="35">
        <f>'7 Search Sizing'!G63</f>
        <v/>
      </c>
      <c r="H21" s="35">
        <f>'7 Search Sizing'!H63</f>
        <v/>
      </c>
      <c r="I21" s="35">
        <f>'7 Search Sizing'!I63</f>
        <v/>
      </c>
      <c r="J21" s="35">
        <f>'7 Search Sizing'!J63</f>
        <v/>
      </c>
      <c r="K21" s="35">
        <f>'7 Search Sizing'!K63</f>
        <v/>
      </c>
    </row>
    <row r="22" ht="16" customHeight="1">
      <c r="A22" s="31" t="inlineStr">
        <is>
          <t>C. Data</t>
        </is>
      </c>
      <c r="B22" s="32" t="n"/>
      <c r="C22" s="32" t="n"/>
      <c r="D22" s="32" t="n"/>
      <c r="E22" s="32" t="n"/>
      <c r="F22" s="32" t="n"/>
      <c r="G22" s="32" t="n"/>
      <c r="H22" s="32" t="n"/>
      <c r="I22" s="32" t="n"/>
      <c r="J22" s="32" t="n"/>
      <c r="K22" s="32" t="n"/>
    </row>
    <row r="23" ht="15.5" customHeight="1">
      <c r="A23" s="27" t="inlineStr">
        <is>
          <t>R.16</t>
        </is>
      </c>
      <c r="B23" s="26" t="inlineStr">
        <is>
          <t>Source data to hold at end of period</t>
        </is>
      </c>
      <c r="C23" s="27" t="inlineStr">
        <is>
          <t>GB</t>
        </is>
      </c>
      <c r="D23" s="27" t="inlineStr"/>
      <c r="E23" s="27" t="inlineStr">
        <is>
          <t>-</t>
        </is>
      </c>
      <c r="F23" s="38">
        <f>'7 Search Sizing'!F45</f>
        <v/>
      </c>
      <c r="G23" s="38">
        <f>'7 Search Sizing'!G45</f>
        <v/>
      </c>
      <c r="H23" s="38">
        <f>'7 Search Sizing'!H45</f>
        <v/>
      </c>
      <c r="I23" s="38">
        <f>'7 Search Sizing'!I45</f>
        <v/>
      </c>
      <c r="J23" s="38">
        <f>'7 Search Sizing'!J45</f>
        <v/>
      </c>
      <c r="K23" s="38">
        <f>'7 Search Sizing'!K45</f>
        <v/>
      </c>
    </row>
    <row r="24" ht="29" customHeight="1">
      <c r="A24" s="27" t="inlineStr">
        <is>
          <t>R.17</t>
        </is>
      </c>
      <c r="B24" s="26" t="inlineStr">
        <is>
          <t>Minimum storage including replicas and overheads</t>
        </is>
      </c>
      <c r="C24" s="27" t="inlineStr">
        <is>
          <t>GB</t>
        </is>
      </c>
      <c r="D24" s="27" t="inlineStr"/>
      <c r="E24" s="27" t="inlineStr">
        <is>
          <t>A1</t>
        </is>
      </c>
      <c r="F24" s="38">
        <f>'7 Search Sizing'!F46</f>
        <v/>
      </c>
      <c r="G24" s="38">
        <f>'7 Search Sizing'!G46</f>
        <v/>
      </c>
      <c r="H24" s="38">
        <f>'7 Search Sizing'!H46</f>
        <v/>
      </c>
      <c r="I24" s="38">
        <f>'7 Search Sizing'!I46</f>
        <v/>
      </c>
      <c r="J24" s="38">
        <f>'7 Search Sizing'!J46</f>
        <v/>
      </c>
      <c r="K24" s="38">
        <f>'7 Search Sizing'!K46</f>
        <v/>
      </c>
    </row>
    <row r="25" ht="15.5" customHeight="1">
      <c r="A25" s="27" t="inlineStr">
        <is>
          <t>R.18</t>
        </is>
      </c>
      <c r="B25" s="26" t="inlineStr">
        <is>
          <t>Replicas per primary</t>
        </is>
      </c>
      <c r="C25" s="27" t="inlineStr">
        <is>
          <t>count</t>
        </is>
      </c>
      <c r="D25" s="27" t="inlineStr"/>
      <c r="E25" s="27" t="inlineStr">
        <is>
          <t>O2</t>
        </is>
      </c>
      <c r="F25" s="35">
        <f>'7 Search Sizing'!F24</f>
        <v/>
      </c>
      <c r="G25" s="35">
        <f>'7 Search Sizing'!G24</f>
        <v/>
      </c>
      <c r="H25" s="35">
        <f>'7 Search Sizing'!H24</f>
        <v/>
      </c>
      <c r="I25" s="35">
        <f>'7 Search Sizing'!I24</f>
        <v/>
      </c>
      <c r="J25" s="35">
        <f>'7 Search Sizing'!J24</f>
        <v/>
      </c>
      <c r="K25" s="35">
        <f>'7 Search Sizing'!K24</f>
        <v/>
      </c>
    </row>
    <row r="26" ht="15.5" customHeight="1">
      <c r="A26" s="27" t="inlineStr">
        <is>
          <t>R.19</t>
        </is>
      </c>
      <c r="B26" s="26" t="inlineStr">
        <is>
          <t>Total shards</t>
        </is>
      </c>
      <c r="C26" s="27" t="inlineStr">
        <is>
          <t>count</t>
        </is>
      </c>
      <c r="D26" s="27" t="inlineStr"/>
      <c r="E26" s="27" t="inlineStr">
        <is>
          <t>O2</t>
        </is>
      </c>
      <c r="F26" s="38">
        <f>'7 Search Sizing'!F48</f>
        <v/>
      </c>
      <c r="G26" s="38">
        <f>'7 Search Sizing'!G48</f>
        <v/>
      </c>
      <c r="H26" s="38">
        <f>'7 Search Sizing'!H48</f>
        <v/>
      </c>
      <c r="I26" s="38">
        <f>'7 Search Sizing'!I48</f>
        <v/>
      </c>
      <c r="J26" s="38">
        <f>'7 Search Sizing'!J48</f>
        <v/>
      </c>
      <c r="K26" s="38">
        <f>'7 Search Sizing'!K48</f>
        <v/>
      </c>
    </row>
    <row r="27" ht="15.5" customHeight="1">
      <c r="A27" s="27" t="inlineStr">
        <is>
          <t>R.20</t>
        </is>
      </c>
      <c r="B27" s="26" t="inlineStr">
        <is>
          <t>Documents at end of period</t>
        </is>
      </c>
      <c r="C27" s="27" t="inlineStr">
        <is>
          <t>count</t>
        </is>
      </c>
      <c r="D27" s="27" t="inlineStr"/>
      <c r="E27" s="27" t="inlineStr">
        <is>
          <t>-</t>
        </is>
      </c>
      <c r="F27" s="38">
        <f>'7 Search Sizing'!F16</f>
        <v/>
      </c>
      <c r="G27" s="38">
        <f>'7 Search Sizing'!G16</f>
        <v/>
      </c>
      <c r="H27" s="38">
        <f>'7 Search Sizing'!H16</f>
        <v/>
      </c>
      <c r="I27" s="38">
        <f>'7 Search Sizing'!I16</f>
        <v/>
      </c>
      <c r="J27" s="38">
        <f>'7 Search Sizing'!J16</f>
        <v/>
      </c>
      <c r="K27" s="38">
        <f>'7 Search Sizing'!K16</f>
        <v/>
      </c>
    </row>
    <row r="28" ht="15.5" customHeight="1">
      <c r="A28" s="27" t="inlineStr">
        <is>
          <t>R.21</t>
        </is>
      </c>
      <c r="B28" s="26" t="inlineStr">
        <is>
          <t>Rule that sets the data-node count</t>
        </is>
      </c>
      <c r="C28" s="27" t="inlineStr">
        <is>
          <t>text</t>
        </is>
      </c>
      <c r="D28" s="27" t="inlineStr"/>
      <c r="E28" s="27" t="inlineStr">
        <is>
          <t>-</t>
        </is>
      </c>
      <c r="F28" s="11">
        <f>'7 Search Sizing'!F57</f>
        <v/>
      </c>
      <c r="G28" s="11">
        <f>'7 Search Sizing'!G57</f>
        <v/>
      </c>
      <c r="H28" s="11">
        <f>'7 Search Sizing'!H57</f>
        <v/>
      </c>
      <c r="I28" s="11">
        <f>'7 Search Sizing'!I57</f>
        <v/>
      </c>
      <c r="J28" s="11">
        <f>'7 Search Sizing'!J57</f>
        <v/>
      </c>
      <c r="K28" s="11">
        <f>'7 Search Sizing'!K57</f>
        <v/>
      </c>
    </row>
    <row r="29" ht="16" customHeight="1">
      <c r="A29" s="31" t="inlineStr">
        <is>
          <t>D. Input quality</t>
        </is>
      </c>
      <c r="B29" s="32" t="n"/>
      <c r="C29" s="32" t="n"/>
      <c r="D29" s="32" t="n"/>
      <c r="E29" s="32" t="n"/>
      <c r="F29" s="32" t="n"/>
      <c r="G29" s="32" t="n"/>
      <c r="H29" s="32" t="n"/>
      <c r="I29" s="32" t="n"/>
      <c r="J29" s="32" t="n"/>
      <c r="K29" s="32" t="n"/>
    </row>
    <row r="30" ht="15.5" customHeight="1">
      <c r="A30" s="27" t="inlineStr">
        <is>
          <t>R.22</t>
        </is>
      </c>
      <c r="B30" s="26" t="inlineStr">
        <is>
          <t>Example inputs still present</t>
        </is>
      </c>
      <c r="C30" s="27" t="inlineStr">
        <is>
          <t>status</t>
        </is>
      </c>
      <c r="D30" s="27" t="inlineStr"/>
      <c r="E30" s="27" t="inlineStr">
        <is>
          <t>-</t>
        </is>
      </c>
      <c r="F30" s="11">
        <f>'7 Search Sizing'!F81</f>
        <v/>
      </c>
      <c r="G30" s="11">
        <f>'7 Search Sizing'!G81</f>
        <v/>
      </c>
      <c r="H30" s="11">
        <f>'7 Search Sizing'!H81</f>
        <v/>
      </c>
      <c r="I30" s="11">
        <f>'7 Search Sizing'!I81</f>
        <v/>
      </c>
      <c r="J30" s="11">
        <f>'7 Search Sizing'!J81</f>
        <v/>
      </c>
      <c r="K30" s="11">
        <f>'7 Search Sizing'!K81</f>
        <v/>
      </c>
    </row>
    <row r="32">
      <c r="B32" s="51" t="inlineStr">
        <is>
          <t>E. Cluster settings SRS requires [P2]</t>
        </is>
      </c>
    </row>
    <row r="33">
      <c r="B33" s="9" t="inlineStr">
        <is>
          <t>Setting</t>
        </is>
      </c>
      <c r="C33" s="9" t="inlineStr">
        <is>
          <t>Value</t>
        </is>
      </c>
      <c r="D33" s="9" t="inlineStr">
        <is>
          <t>Note</t>
        </is>
      </c>
    </row>
    <row r="34" ht="29" customHeight="1">
      <c r="B34" s="27" t="inlineStr">
        <is>
          <t>action.auto_create_index</t>
        </is>
      </c>
      <c r="C34" s="27" t="inlineStr">
        <is>
          <t>false</t>
        </is>
      </c>
      <c r="D34" s="27" t="inlineStr">
        <is>
          <t>SRS sets this itself if its user has manage cluster privileges; otherwise set it manually.</t>
        </is>
      </c>
      <c r="E34" s="23" t="n"/>
      <c r="F34" s="23" t="n"/>
      <c r="G34" s="23" t="n"/>
      <c r="H34" s="23" t="n"/>
      <c r="I34" s="23" t="n"/>
      <c r="J34" s="23" t="n"/>
      <c r="K34" s="24" t="n"/>
    </row>
    <row r="35" ht="15.5" customHeight="1">
      <c r="B35" s="27" t="inlineStr">
        <is>
          <t>action.destructive_requires_name</t>
        </is>
      </c>
      <c r="C35" s="27" t="inlineStr">
        <is>
          <t>false</t>
        </is>
      </c>
      <c r="D35" s="27" t="inlineStr">
        <is>
          <t>SRS deletes indexes with a pattern.</t>
        </is>
      </c>
      <c r="E35" s="23" t="n"/>
      <c r="F35" s="23" t="n"/>
      <c r="G35" s="23" t="n"/>
      <c r="H35" s="23" t="n"/>
      <c r="I35" s="23" t="n"/>
      <c r="J35" s="23" t="n"/>
      <c r="K35" s="24" t="n"/>
    </row>
    <row r="36" ht="15.5" customHeight="1">
      <c r="B36" s="27" t="inlineStr">
        <is>
          <t>Image</t>
        </is>
      </c>
      <c r="C36" s="27" t="inlineStr">
        <is>
          <t>search-n-reporting-service-os</t>
        </is>
      </c>
      <c r="D36" s="27" t="inlineStr">
        <is>
          <t>Supports cloud and self-managed OpenSearch.</t>
        </is>
      </c>
      <c r="E36" s="23" t="n"/>
      <c r="F36" s="23" t="n"/>
      <c r="G36" s="23" t="n"/>
      <c r="H36" s="23" t="n"/>
      <c r="I36" s="23" t="n"/>
      <c r="J36" s="23" t="n"/>
      <c r="K36" s="24" t="n"/>
    </row>
    <row r="37" ht="15.5" customHeight="1">
      <c r="B37" s="27" t="inlineStr">
        <is>
          <t>Traffic encryption</t>
        </is>
      </c>
      <c r="C37" s="27" t="inlineStr">
        <is>
          <t>TLS between Pega and SRS</t>
        </is>
      </c>
      <c r="D37" s="27" t="inlineStr">
        <is>
          <t>Pega best practice: service mesh or load balancer with TLS.</t>
        </is>
      </c>
      <c r="E37" s="23" t="n"/>
      <c r="F37" s="23" t="n"/>
      <c r="G37" s="23" t="n"/>
      <c r="H37" s="23" t="n"/>
      <c r="I37" s="23" t="n"/>
      <c r="J37" s="23" t="n"/>
      <c r="K37" s="24" t="n"/>
    </row>
    <row r="39">
      <c r="B39" s="51" t="inlineStr">
        <is>
          <t>F. Questions for the provider</t>
        </is>
      </c>
    </row>
    <row r="40">
      <c r="B40" s="9" t="inlineStr">
        <is>
          <t>#</t>
        </is>
      </c>
      <c r="C40" s="9" t="inlineStr">
        <is>
          <t>Question</t>
        </is>
      </c>
    </row>
    <row r="41" ht="29" customHeight="1">
      <c r="B41" s="27" t="inlineStr">
        <is>
          <t>1</t>
        </is>
      </c>
      <c r="C41" s="27" t="inlineStr">
        <is>
          <t>Price the nodes in Section B in the Azure region, with the zones and options requested.</t>
        </is>
      </c>
      <c r="D41" s="23" t="n"/>
      <c r="E41" s="23" t="n"/>
      <c r="F41" s="23" t="n"/>
      <c r="G41" s="23" t="n"/>
      <c r="H41" s="23" t="n"/>
      <c r="I41" s="23" t="n"/>
      <c r="J41" s="23" t="n"/>
      <c r="K41" s="24" t="n"/>
    </row>
    <row r="42" ht="29" customHeight="1">
      <c r="B42" s="27" t="inlineStr">
        <is>
          <t>2</t>
        </is>
      </c>
      <c r="C42" s="27" t="inlineStr">
        <is>
          <t>What storage overhead do you reserve per node? Replace the 20 % AWS figure on the Search Services sheet with yours [A1].</t>
        </is>
      </c>
      <c r="D42" s="23" t="n"/>
      <c r="E42" s="23" t="n"/>
      <c r="F42" s="23" t="n"/>
      <c r="G42" s="23" t="n"/>
      <c r="H42" s="23" t="n"/>
      <c r="I42" s="23" t="n"/>
      <c r="J42" s="23" t="n"/>
      <c r="K42" s="24" t="n"/>
    </row>
    <row r="43" ht="29" customHeight="1">
      <c r="B43" s="27" t="inlineStr">
        <is>
          <t>3</t>
        </is>
      </c>
      <c r="C43" s="27" t="inlineStr">
        <is>
          <t>Can the two SRS cluster settings in Section E be applied, and can the SRS user have manage cluster privileges? [P2]</t>
        </is>
      </c>
      <c r="D43" s="23" t="n"/>
      <c r="E43" s="23" t="n"/>
      <c r="F43" s="23" t="n"/>
      <c r="G43" s="23" t="n"/>
      <c r="H43" s="23" t="n"/>
      <c r="I43" s="23" t="n"/>
      <c r="J43" s="23" t="n"/>
      <c r="K43" s="24" t="n"/>
    </row>
    <row r="44" ht="29" customHeight="1">
      <c r="B44" s="27" t="inlineStr">
        <is>
          <t>4</t>
        </is>
      </c>
      <c r="C44" s="27" t="inlineStr">
        <is>
          <t>Which OpenSearch versions do you offer, and what is your support timeline for 2.15? [P2]</t>
        </is>
      </c>
      <c r="D44" s="23" t="n"/>
      <c r="E44" s="23" t="n"/>
      <c r="F44" s="23" t="n"/>
      <c r="G44" s="23" t="n"/>
      <c r="H44" s="23" t="n"/>
      <c r="I44" s="23" t="n"/>
      <c r="J44" s="23" t="n"/>
      <c r="K44" s="24" t="n"/>
    </row>
    <row r="45" ht="29" customHeight="1">
      <c r="B45" s="27" t="inlineStr">
        <is>
          <t>5</t>
        </is>
      </c>
      <c r="C45" s="27" t="inlineStr">
        <is>
          <t>Confirm dedicated cluster manager nodes across three zones and shard allocation awareness by zone [O1].</t>
        </is>
      </c>
      <c r="D45" s="23" t="n"/>
      <c r="E45" s="23" t="n"/>
      <c r="F45" s="23" t="n"/>
      <c r="G45" s="23" t="n"/>
      <c r="H45" s="23" t="n"/>
      <c r="I45" s="23" t="n"/>
      <c r="J45" s="23" t="n"/>
      <c r="K45" s="24" t="n"/>
    </row>
    <row r="46" ht="29" customHeight="1">
      <c r="B46" s="27" t="inlineStr">
        <is>
          <t>6</t>
        </is>
      </c>
      <c r="C46" s="27" t="inlineStr">
        <is>
          <t>Confirm that the service will not be shared with non-Pega workloads [P2].</t>
        </is>
      </c>
      <c r="D46" s="23" t="n"/>
      <c r="E46" s="23" t="n"/>
      <c r="F46" s="23" t="n"/>
      <c r="G46" s="23" t="n"/>
      <c r="H46" s="23" t="n"/>
      <c r="I46" s="23" t="n"/>
      <c r="J46" s="23" t="n"/>
      <c r="K46" s="24" t="n"/>
    </row>
    <row r="47" ht="29" customHeight="1">
      <c r="B47" s="27" t="inlineStr">
        <is>
          <t>7</t>
        </is>
      </c>
      <c r="C47" s="27" t="inlineStr">
        <is>
          <t>Which indexing and query metrics can you export so the size can be adjusted after go-live? [P2]</t>
        </is>
      </c>
      <c r="D47" s="23" t="n"/>
      <c r="E47" s="23" t="n"/>
      <c r="F47" s="23" t="n"/>
      <c r="G47" s="23" t="n"/>
      <c r="H47" s="23" t="n"/>
      <c r="I47" s="23" t="n"/>
      <c r="J47" s="23" t="n"/>
      <c r="K47" s="24" t="n"/>
    </row>
  </sheetData>
  <sheetProtection selectLockedCells="0" selectUnlockedCells="0" sheet="1" objects="0" insertRows="1" insertHyperlinks="1" autoFilter="0" scenarios="0" formatColumns="0" deleteColumns="1" insertColumns="1" pivotTables="1" deleteRows="1" formatCells="0" formatRows="0" sort="0"/>
  <mergeCells count="11">
    <mergeCell ref="D36:K36"/>
    <mergeCell ref="C47:K47"/>
    <mergeCell ref="C41:K41"/>
    <mergeCell ref="C42:K42"/>
    <mergeCell ref="D34:K34"/>
    <mergeCell ref="C44:K44"/>
    <mergeCell ref="C45:K45"/>
    <mergeCell ref="C46:K46"/>
    <mergeCell ref="D37:K37"/>
    <mergeCell ref="C43:K43"/>
    <mergeCell ref="D35:K35"/>
  </mergeCells>
  <conditionalFormatting sqref="F30:K30">
    <cfRule type="expression" priority="1" dxfId="0">
      <formula>LEFT(F30,4)="FAIL"</formula>
    </cfRule>
    <cfRule type="expression" priority="2" dxfId="1">
      <formula>LEFT(F30,4)="WARN"</formula>
    </cfRule>
    <cfRule type="expression" priority="3" dxfId="2">
      <formula>LEFT(F30,4)="PASS"</formula>
    </cfRule>
    <cfRule type="expression" priority="4" dxfId="3">
      <formula>LEFT(F30,4)="INFO"</formula>
    </cfRule>
  </conditionalFormatting>
  <printOptions horizontalCentered="1"/>
  <pageMargins left="0.75" right="0.75" top="1" bottom="1" header="0.5" footer="0.5"/>
  <pageSetup orientation="landscape" fitToHeight="0" fitToWidth="1"/>
  <headerFooter>
    <oddHeader/>
    <oddFooter>&amp;LPega '26 Kafka and OpenSearch sizing workbook v1.0&amp;C&amp;A  -  page &amp;P of &amp;N</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tabColor rgb="00C00000"/>
    <outlinePr summaryBelow="1" summaryRight="1"/>
    <pageSetUpPr fitToPage="1"/>
  </sheetPr>
  <dimension ref="A1:G27"/>
  <sheetViews>
    <sheetView showGridLines="0" workbookViewId="0">
      <pane ySplit="4" topLeftCell="A5" activePane="bottomLeft" state="frozen"/>
      <selection pane="bottomLeft" activeCell="A1" sqref="A1"/>
    </sheetView>
  </sheetViews>
  <sheetFormatPr baseColWidth="8" defaultRowHeight="15"/>
  <cols>
    <col width="20" customWidth="1" min="1" max="1"/>
    <col width="12" customWidth="1" min="2" max="2"/>
    <col width="10" customWidth="1" min="3" max="3"/>
    <col width="10" customWidth="1" min="4" max="4"/>
    <col width="10" customWidth="1" min="5" max="5"/>
    <col width="10" customWidth="1" min="6" max="6"/>
    <col width="30" customWidth="1" min="7" max="7"/>
    <col width="4" customWidth="1" min="8" max="8"/>
    <col width="12" customWidth="1" min="9" max="9"/>
    <col width="14" customWidth="1" min="10" max="10"/>
    <col width="16" customWidth="1" min="11" max="11"/>
    <col width="16" customWidth="1" min="12" max="12"/>
    <col width="16" customWidth="1" min="13" max="13"/>
    <col width="30" customWidth="1" min="14" max="14"/>
  </cols>
  <sheetData>
    <row r="1">
      <c r="A1" s="21" t="inlineStr">
        <is>
          <t>10  Checks: summary of every check in the workbook</t>
        </is>
      </c>
    </row>
    <row r="2">
      <c r="A2" s="22" t="inlineStr">
        <is>
          <t>Resolve every FAIL before sending the request sheets. Review every WARN. INFO items are facts the customer and the provider should know.</t>
        </is>
      </c>
    </row>
    <row r="4" ht="30" customHeight="1">
      <c r="A4" s="9" t="inlineStr">
        <is>
          <t>Kafka cluster / search service</t>
        </is>
      </c>
      <c r="B4" s="9" t="inlineStr">
        <is>
          <t>ID</t>
        </is>
      </c>
      <c r="C4" s="9" t="inlineStr">
        <is>
          <t>FAIL</t>
        </is>
      </c>
      <c r="D4" s="9" t="inlineStr">
        <is>
          <t>WARN</t>
        </is>
      </c>
      <c r="E4" s="9" t="inlineStr">
        <is>
          <t>INFO</t>
        </is>
      </c>
      <c r="F4" s="9" t="inlineStr">
        <is>
          <t>PASS</t>
        </is>
      </c>
      <c r="G4" s="9" t="inlineStr">
        <is>
          <t>Overall</t>
        </is>
      </c>
    </row>
    <row r="5">
      <c r="A5" s="14">
        <f>'6 Kafka Sizing'!F8</f>
        <v/>
      </c>
      <c r="B5" s="11" t="inlineStr">
        <is>
          <t>K1</t>
        </is>
      </c>
      <c r="C5" s="35">
        <f>SUMPRODUCT(--(LEFT('6 Kafka Sizing'!F106:F120,4)="FAIL"))</f>
        <v/>
      </c>
      <c r="D5" s="35">
        <f>SUMPRODUCT(--(LEFT('6 Kafka Sizing'!F106:F120,4)="WARN"))</f>
        <v/>
      </c>
      <c r="E5" s="35">
        <f>SUMPRODUCT(--(LEFT('6 Kafka Sizing'!F106:F120,4)="INFO"))</f>
        <v/>
      </c>
      <c r="F5" s="35">
        <f>SUMPRODUCT(--(LEFT('6 Kafka Sizing'!F106:F120,4)="PASS"))</f>
        <v/>
      </c>
      <c r="G5" s="26">
        <f>IF('6 Kafka Sizing'!F6=0,"Not used",IF(C5&gt;0,"FAIL: resolve before sending",IF(D5&gt;0,"WARN: review",IF(E5&gt;0,"INFO only","PASS"))))</f>
        <v/>
      </c>
    </row>
    <row r="6">
      <c r="A6" s="14">
        <f>'6 Kafka Sizing'!G8</f>
        <v/>
      </c>
      <c r="B6" s="11" t="inlineStr">
        <is>
          <t>K2</t>
        </is>
      </c>
      <c r="C6" s="35">
        <f>SUMPRODUCT(--(LEFT('6 Kafka Sizing'!G106:G120,4)="FAIL"))</f>
        <v/>
      </c>
      <c r="D6" s="35">
        <f>SUMPRODUCT(--(LEFT('6 Kafka Sizing'!G106:G120,4)="WARN"))</f>
        <v/>
      </c>
      <c r="E6" s="35">
        <f>SUMPRODUCT(--(LEFT('6 Kafka Sizing'!G106:G120,4)="INFO"))</f>
        <v/>
      </c>
      <c r="F6" s="35">
        <f>SUMPRODUCT(--(LEFT('6 Kafka Sizing'!G106:G120,4)="PASS"))</f>
        <v/>
      </c>
      <c r="G6" s="26">
        <f>IF('6 Kafka Sizing'!G6=0,"Not used",IF(C6&gt;0,"FAIL: resolve before sending",IF(D6&gt;0,"WARN: review",IF(E6&gt;0,"INFO only","PASS"))))</f>
        <v/>
      </c>
    </row>
    <row r="7">
      <c r="A7" s="14">
        <f>'6 Kafka Sizing'!H8</f>
        <v/>
      </c>
      <c r="B7" s="11" t="inlineStr">
        <is>
          <t>K3</t>
        </is>
      </c>
      <c r="C7" s="35">
        <f>SUMPRODUCT(--(LEFT('6 Kafka Sizing'!H106:H120,4)="FAIL"))</f>
        <v/>
      </c>
      <c r="D7" s="35">
        <f>SUMPRODUCT(--(LEFT('6 Kafka Sizing'!H106:H120,4)="WARN"))</f>
        <v/>
      </c>
      <c r="E7" s="35">
        <f>SUMPRODUCT(--(LEFT('6 Kafka Sizing'!H106:H120,4)="INFO"))</f>
        <v/>
      </c>
      <c r="F7" s="35">
        <f>SUMPRODUCT(--(LEFT('6 Kafka Sizing'!H106:H120,4)="PASS"))</f>
        <v/>
      </c>
      <c r="G7" s="26">
        <f>IF('6 Kafka Sizing'!H6=0,"Not used",IF(C7&gt;0,"FAIL: resolve before sending",IF(D7&gt;0,"WARN: review",IF(E7&gt;0,"INFO only","PASS"))))</f>
        <v/>
      </c>
    </row>
    <row r="8">
      <c r="A8" s="14">
        <f>'6 Kafka Sizing'!I8</f>
        <v/>
      </c>
      <c r="B8" s="11" t="inlineStr">
        <is>
          <t>K4</t>
        </is>
      </c>
      <c r="C8" s="35">
        <f>SUMPRODUCT(--(LEFT('6 Kafka Sizing'!I106:I120,4)="FAIL"))</f>
        <v/>
      </c>
      <c r="D8" s="35">
        <f>SUMPRODUCT(--(LEFT('6 Kafka Sizing'!I106:I120,4)="WARN"))</f>
        <v/>
      </c>
      <c r="E8" s="35">
        <f>SUMPRODUCT(--(LEFT('6 Kafka Sizing'!I106:I120,4)="INFO"))</f>
        <v/>
      </c>
      <c r="F8" s="35">
        <f>SUMPRODUCT(--(LEFT('6 Kafka Sizing'!I106:I120,4)="PASS"))</f>
        <v/>
      </c>
      <c r="G8" s="26">
        <f>IF('6 Kafka Sizing'!I6=0,"Not used",IF(C8&gt;0,"FAIL: resolve before sending",IF(D8&gt;0,"WARN: review",IF(E8&gt;0,"INFO only","PASS"))))</f>
        <v/>
      </c>
    </row>
    <row r="9">
      <c r="A9" s="14">
        <f>'6 Kafka Sizing'!J8</f>
        <v/>
      </c>
      <c r="B9" s="11" t="inlineStr">
        <is>
          <t>K5</t>
        </is>
      </c>
      <c r="C9" s="35">
        <f>SUMPRODUCT(--(LEFT('6 Kafka Sizing'!J106:J120,4)="FAIL"))</f>
        <v/>
      </c>
      <c r="D9" s="35">
        <f>SUMPRODUCT(--(LEFT('6 Kafka Sizing'!J106:J120,4)="WARN"))</f>
        <v/>
      </c>
      <c r="E9" s="35">
        <f>SUMPRODUCT(--(LEFT('6 Kafka Sizing'!J106:J120,4)="INFO"))</f>
        <v/>
      </c>
      <c r="F9" s="35">
        <f>SUMPRODUCT(--(LEFT('6 Kafka Sizing'!J106:J120,4)="PASS"))</f>
        <v/>
      </c>
      <c r="G9" s="26">
        <f>IF('6 Kafka Sizing'!J6=0,"Not used",IF(C9&gt;0,"FAIL: resolve before sending",IF(D9&gt;0,"WARN: review",IF(E9&gt;0,"INFO only","PASS"))))</f>
        <v/>
      </c>
    </row>
    <row r="10">
      <c r="A10" s="14">
        <f>'6 Kafka Sizing'!K8</f>
        <v/>
      </c>
      <c r="B10" s="11" t="inlineStr">
        <is>
          <t>K6</t>
        </is>
      </c>
      <c r="C10" s="35">
        <f>SUMPRODUCT(--(LEFT('6 Kafka Sizing'!K106:K120,4)="FAIL"))</f>
        <v/>
      </c>
      <c r="D10" s="35">
        <f>SUMPRODUCT(--(LEFT('6 Kafka Sizing'!K106:K120,4)="WARN"))</f>
        <v/>
      </c>
      <c r="E10" s="35">
        <f>SUMPRODUCT(--(LEFT('6 Kafka Sizing'!K106:K120,4)="INFO"))</f>
        <v/>
      </c>
      <c r="F10" s="35">
        <f>SUMPRODUCT(--(LEFT('6 Kafka Sizing'!K106:K120,4)="PASS"))</f>
        <v/>
      </c>
      <c r="G10" s="26">
        <f>IF('6 Kafka Sizing'!K6=0,"Not used",IF(C10&gt;0,"FAIL: resolve before sending",IF(D10&gt;0,"WARN: review",IF(E10&gt;0,"INFO only","PASS"))))</f>
        <v/>
      </c>
    </row>
    <row r="11">
      <c r="A11" s="14">
        <f>'7 Search Sizing'!F8</f>
        <v/>
      </c>
      <c r="B11" s="11" t="inlineStr">
        <is>
          <t>S1</t>
        </is>
      </c>
      <c r="C11" s="35">
        <f>SUMPRODUCT(--(LEFT('7 Search Sizing'!F80:F92,4)="FAIL"))</f>
        <v/>
      </c>
      <c r="D11" s="35">
        <f>SUMPRODUCT(--(LEFT('7 Search Sizing'!F80:F92,4)="WARN"))</f>
        <v/>
      </c>
      <c r="E11" s="35">
        <f>SUMPRODUCT(--(LEFT('7 Search Sizing'!F80:F92,4)="INFO"))</f>
        <v/>
      </c>
      <c r="F11" s="35">
        <f>SUMPRODUCT(--(LEFT('7 Search Sizing'!F80:F92,4)="PASS"))</f>
        <v/>
      </c>
      <c r="G11" s="26">
        <f>IF('7 Search Sizing'!F6=0,"Not used",IF(C11&gt;0,"FAIL: resolve before sending",IF(D11&gt;0,"WARN: review",IF(E11&gt;0,"INFO only","PASS"))))</f>
        <v/>
      </c>
    </row>
    <row r="12">
      <c r="A12" s="14">
        <f>'7 Search Sizing'!G8</f>
        <v/>
      </c>
      <c r="B12" s="11" t="inlineStr">
        <is>
          <t>S2</t>
        </is>
      </c>
      <c r="C12" s="35">
        <f>SUMPRODUCT(--(LEFT('7 Search Sizing'!G80:G92,4)="FAIL"))</f>
        <v/>
      </c>
      <c r="D12" s="35">
        <f>SUMPRODUCT(--(LEFT('7 Search Sizing'!G80:G92,4)="WARN"))</f>
        <v/>
      </c>
      <c r="E12" s="35">
        <f>SUMPRODUCT(--(LEFT('7 Search Sizing'!G80:G92,4)="INFO"))</f>
        <v/>
      </c>
      <c r="F12" s="35">
        <f>SUMPRODUCT(--(LEFT('7 Search Sizing'!G80:G92,4)="PASS"))</f>
        <v/>
      </c>
      <c r="G12" s="26">
        <f>IF('7 Search Sizing'!G6=0,"Not used",IF(C12&gt;0,"FAIL: resolve before sending",IF(D12&gt;0,"WARN: review",IF(E12&gt;0,"INFO only","PASS"))))</f>
        <v/>
      </c>
    </row>
    <row r="13">
      <c r="A13" s="14">
        <f>'7 Search Sizing'!H8</f>
        <v/>
      </c>
      <c r="B13" s="11" t="inlineStr">
        <is>
          <t>S3</t>
        </is>
      </c>
      <c r="C13" s="35">
        <f>SUMPRODUCT(--(LEFT('7 Search Sizing'!H80:H92,4)="FAIL"))</f>
        <v/>
      </c>
      <c r="D13" s="35">
        <f>SUMPRODUCT(--(LEFT('7 Search Sizing'!H80:H92,4)="WARN"))</f>
        <v/>
      </c>
      <c r="E13" s="35">
        <f>SUMPRODUCT(--(LEFT('7 Search Sizing'!H80:H92,4)="INFO"))</f>
        <v/>
      </c>
      <c r="F13" s="35">
        <f>SUMPRODUCT(--(LEFT('7 Search Sizing'!H80:H92,4)="PASS"))</f>
        <v/>
      </c>
      <c r="G13" s="26">
        <f>IF('7 Search Sizing'!H6=0,"Not used",IF(C13&gt;0,"FAIL: resolve before sending",IF(D13&gt;0,"WARN: review",IF(E13&gt;0,"INFO only","PASS"))))</f>
        <v/>
      </c>
    </row>
    <row r="14">
      <c r="A14" s="14">
        <f>'7 Search Sizing'!I8</f>
        <v/>
      </c>
      <c r="B14" s="11" t="inlineStr">
        <is>
          <t>S4</t>
        </is>
      </c>
      <c r="C14" s="35">
        <f>SUMPRODUCT(--(LEFT('7 Search Sizing'!I80:I92,4)="FAIL"))</f>
        <v/>
      </c>
      <c r="D14" s="35">
        <f>SUMPRODUCT(--(LEFT('7 Search Sizing'!I80:I92,4)="WARN"))</f>
        <v/>
      </c>
      <c r="E14" s="35">
        <f>SUMPRODUCT(--(LEFT('7 Search Sizing'!I80:I92,4)="INFO"))</f>
        <v/>
      </c>
      <c r="F14" s="35">
        <f>SUMPRODUCT(--(LEFT('7 Search Sizing'!I80:I92,4)="PASS"))</f>
        <v/>
      </c>
      <c r="G14" s="26">
        <f>IF('7 Search Sizing'!I6=0,"Not used",IF(C14&gt;0,"FAIL: resolve before sending",IF(D14&gt;0,"WARN: review",IF(E14&gt;0,"INFO only","PASS"))))</f>
        <v/>
      </c>
    </row>
    <row r="15">
      <c r="A15" s="14">
        <f>'7 Search Sizing'!J8</f>
        <v/>
      </c>
      <c r="B15" s="11" t="inlineStr">
        <is>
          <t>S5</t>
        </is>
      </c>
      <c r="C15" s="35">
        <f>SUMPRODUCT(--(LEFT('7 Search Sizing'!J80:J92,4)="FAIL"))</f>
        <v/>
      </c>
      <c r="D15" s="35">
        <f>SUMPRODUCT(--(LEFT('7 Search Sizing'!J80:J92,4)="WARN"))</f>
        <v/>
      </c>
      <c r="E15" s="35">
        <f>SUMPRODUCT(--(LEFT('7 Search Sizing'!J80:J92,4)="INFO"))</f>
        <v/>
      </c>
      <c r="F15" s="35">
        <f>SUMPRODUCT(--(LEFT('7 Search Sizing'!J80:J92,4)="PASS"))</f>
        <v/>
      </c>
      <c r="G15" s="26">
        <f>IF('7 Search Sizing'!J6=0,"Not used",IF(C15&gt;0,"FAIL: resolve before sending",IF(D15&gt;0,"WARN: review",IF(E15&gt;0,"INFO only","PASS"))))</f>
        <v/>
      </c>
    </row>
    <row r="16">
      <c r="A16" s="14">
        <f>'7 Search Sizing'!K8</f>
        <v/>
      </c>
      <c r="B16" s="11" t="inlineStr">
        <is>
          <t>S6</t>
        </is>
      </c>
      <c r="C16" s="35">
        <f>SUMPRODUCT(--(LEFT('7 Search Sizing'!K80:K92,4)="FAIL"))</f>
        <v/>
      </c>
      <c r="D16" s="35">
        <f>SUMPRODUCT(--(LEFT('7 Search Sizing'!K80:K92,4)="WARN"))</f>
        <v/>
      </c>
      <c r="E16" s="35">
        <f>SUMPRODUCT(--(LEFT('7 Search Sizing'!K80:K92,4)="INFO"))</f>
        <v/>
      </c>
      <c r="F16" s="35">
        <f>SUMPRODUCT(--(LEFT('7 Search Sizing'!K80:K92,4)="PASS"))</f>
        <v/>
      </c>
      <c r="G16" s="26">
        <f>IF('7 Search Sizing'!K6=0,"Not used",IF(C16&gt;0,"FAIL: resolve before sending",IF(D16&gt;0,"WARN: review",IF(E16&gt;0,"INFO only","PASS"))))</f>
        <v/>
      </c>
    </row>
    <row r="18">
      <c r="A18" s="51" t="inlineStr">
        <is>
          <t>Environment input checks</t>
        </is>
      </c>
    </row>
    <row r="19" ht="30" customHeight="1">
      <c r="A19" s="9" t="inlineStr">
        <is>
          <t>Environment</t>
        </is>
      </c>
      <c r="B19" s="9" t="inlineStr">
        <is>
          <t>In scope</t>
        </is>
      </c>
      <c r="C19" s="9" t="inlineStr">
        <is>
          <t>Landscape</t>
        </is>
      </c>
      <c r="D19" s="9" t="inlineStr">
        <is>
          <t>Kafka cluster</t>
        </is>
      </c>
      <c r="E19" s="9" t="inlineStr">
        <is>
          <t>Search service</t>
        </is>
      </c>
      <c r="F19" s="9" t="inlineStr">
        <is>
          <t>Kafka status</t>
        </is>
      </c>
      <c r="G19" s="9" t="inlineStr">
        <is>
          <t>Overall</t>
        </is>
      </c>
    </row>
    <row r="20">
      <c r="A20" s="14">
        <f>IF('1 Setup'!B14="","(empty row)",'1 Setup'!B14)</f>
        <v/>
      </c>
      <c r="B20" s="11">
        <f>IF('1 Setup'!E14="","-",'1 Setup'!E14)</f>
        <v/>
      </c>
      <c r="C20" s="11">
        <f>IF('1 Setup'!D14="","missing",'1 Setup'!D14)</f>
        <v/>
      </c>
      <c r="D20" s="11">
        <f>IF('1 Setup'!F14="","missing",'1 Setup'!F14)</f>
        <v/>
      </c>
      <c r="E20" s="11">
        <f>IF('1 Setup'!G14="","missing",'1 Setup'!G14)</f>
        <v/>
      </c>
      <c r="F20" s="11">
        <f>IF('3 Kafka Demand'!E7="","missing",'3 Kafka Demand'!E7)</f>
        <v/>
      </c>
      <c r="G20" s="26">
        <f>IF('1 Setup'!B14="","-",IF('1 Setup'!E14&lt;&gt;"Yes","INFO: out of scope",IF(OR('1 Setup'!D14="",'1 Setup'!F14="",'1 Setup'!G14=""),"FAIL: landscape, cluster or service missing",IF(COUNTIF(ENV_CODE,'1 Setup'!B14)&gt;1,"FAIL: duplicate environment code","PASS"))))</f>
        <v/>
      </c>
    </row>
    <row r="21">
      <c r="A21" s="14">
        <f>IF('1 Setup'!B15="","(empty row)",'1 Setup'!B15)</f>
        <v/>
      </c>
      <c r="B21" s="11">
        <f>IF('1 Setup'!E15="","-",'1 Setup'!E15)</f>
        <v/>
      </c>
      <c r="C21" s="11">
        <f>IF('1 Setup'!D15="","missing",'1 Setup'!D15)</f>
        <v/>
      </c>
      <c r="D21" s="11">
        <f>IF('1 Setup'!F15="","missing",'1 Setup'!F15)</f>
        <v/>
      </c>
      <c r="E21" s="11">
        <f>IF('1 Setup'!G15="","missing",'1 Setup'!G15)</f>
        <v/>
      </c>
      <c r="F21" s="11">
        <f>IF('3 Kafka Demand'!E8="","missing",'3 Kafka Demand'!E8)</f>
        <v/>
      </c>
      <c r="G21" s="26">
        <f>IF('1 Setup'!B15="","-",IF('1 Setup'!E15&lt;&gt;"Yes","INFO: out of scope",IF(OR('1 Setup'!D15="",'1 Setup'!F15="",'1 Setup'!G15=""),"FAIL: landscape, cluster or service missing",IF(COUNTIF(ENV_CODE,'1 Setup'!B15)&gt;1,"FAIL: duplicate environment code","PASS"))))</f>
        <v/>
      </c>
    </row>
    <row r="22">
      <c r="A22" s="14">
        <f>IF('1 Setup'!B16="","(empty row)",'1 Setup'!B16)</f>
        <v/>
      </c>
      <c r="B22" s="11">
        <f>IF('1 Setup'!E16="","-",'1 Setup'!E16)</f>
        <v/>
      </c>
      <c r="C22" s="11">
        <f>IF('1 Setup'!D16="","missing",'1 Setup'!D16)</f>
        <v/>
      </c>
      <c r="D22" s="11">
        <f>IF('1 Setup'!F16="","missing",'1 Setup'!F16)</f>
        <v/>
      </c>
      <c r="E22" s="11">
        <f>IF('1 Setup'!G16="","missing",'1 Setup'!G16)</f>
        <v/>
      </c>
      <c r="F22" s="11">
        <f>IF('3 Kafka Demand'!E9="","missing",'3 Kafka Demand'!E9)</f>
        <v/>
      </c>
      <c r="G22" s="26">
        <f>IF('1 Setup'!B16="","-",IF('1 Setup'!E16&lt;&gt;"Yes","INFO: out of scope",IF(OR('1 Setup'!D16="",'1 Setup'!F16="",'1 Setup'!G16=""),"FAIL: landscape, cluster or service missing",IF(COUNTIF(ENV_CODE,'1 Setup'!B16)&gt;1,"FAIL: duplicate environment code","PASS"))))</f>
        <v/>
      </c>
    </row>
    <row r="23">
      <c r="A23" s="14">
        <f>IF('1 Setup'!B17="","(empty row)",'1 Setup'!B17)</f>
        <v/>
      </c>
      <c r="B23" s="11">
        <f>IF('1 Setup'!E17="","-",'1 Setup'!E17)</f>
        <v/>
      </c>
      <c r="C23" s="11">
        <f>IF('1 Setup'!D17="","missing",'1 Setup'!D17)</f>
        <v/>
      </c>
      <c r="D23" s="11">
        <f>IF('1 Setup'!F17="","missing",'1 Setup'!F17)</f>
        <v/>
      </c>
      <c r="E23" s="11">
        <f>IF('1 Setup'!G17="","missing",'1 Setup'!G17)</f>
        <v/>
      </c>
      <c r="F23" s="11">
        <f>IF('3 Kafka Demand'!E10="","missing",'3 Kafka Demand'!E10)</f>
        <v/>
      </c>
      <c r="G23" s="26">
        <f>IF('1 Setup'!B17="","-",IF('1 Setup'!E17&lt;&gt;"Yes","INFO: out of scope",IF(OR('1 Setup'!D17="",'1 Setup'!F17="",'1 Setup'!G17=""),"FAIL: landscape, cluster or service missing",IF(COUNTIF(ENV_CODE,'1 Setup'!B17)&gt;1,"FAIL: duplicate environment code","PASS"))))</f>
        <v/>
      </c>
    </row>
    <row r="24">
      <c r="A24" s="14">
        <f>IF('1 Setup'!B18="","(empty row)",'1 Setup'!B18)</f>
        <v/>
      </c>
      <c r="B24" s="11">
        <f>IF('1 Setup'!E18="","-",'1 Setup'!E18)</f>
        <v/>
      </c>
      <c r="C24" s="11">
        <f>IF('1 Setup'!D18="","missing",'1 Setup'!D18)</f>
        <v/>
      </c>
      <c r="D24" s="11">
        <f>IF('1 Setup'!F18="","missing",'1 Setup'!F18)</f>
        <v/>
      </c>
      <c r="E24" s="11">
        <f>IF('1 Setup'!G18="","missing",'1 Setup'!G18)</f>
        <v/>
      </c>
      <c r="F24" s="11">
        <f>IF('3 Kafka Demand'!E11="","missing",'3 Kafka Demand'!E11)</f>
        <v/>
      </c>
      <c r="G24" s="26">
        <f>IF('1 Setup'!B18="","-",IF('1 Setup'!E18&lt;&gt;"Yes","INFO: out of scope",IF(OR('1 Setup'!D18="",'1 Setup'!F18="",'1 Setup'!G18=""),"FAIL: landscape, cluster or service missing",IF(COUNTIF(ENV_CODE,'1 Setup'!B18)&gt;1,"FAIL: duplicate environment code","PASS"))))</f>
        <v/>
      </c>
    </row>
    <row r="25">
      <c r="A25" s="14">
        <f>IF('1 Setup'!B19="","(empty row)",'1 Setup'!B19)</f>
        <v/>
      </c>
      <c r="B25" s="11">
        <f>IF('1 Setup'!E19="","-",'1 Setup'!E19)</f>
        <v/>
      </c>
      <c r="C25" s="11">
        <f>IF('1 Setup'!D19="","missing",'1 Setup'!D19)</f>
        <v/>
      </c>
      <c r="D25" s="11">
        <f>IF('1 Setup'!F19="","missing",'1 Setup'!F19)</f>
        <v/>
      </c>
      <c r="E25" s="11">
        <f>IF('1 Setup'!G19="","missing",'1 Setup'!G19)</f>
        <v/>
      </c>
      <c r="F25" s="11">
        <f>IF('3 Kafka Demand'!E12="","missing",'3 Kafka Demand'!E12)</f>
        <v/>
      </c>
      <c r="G25" s="26">
        <f>IF('1 Setup'!B19="","-",IF('1 Setup'!E19&lt;&gt;"Yes","INFO: out of scope",IF(OR('1 Setup'!D19="",'1 Setup'!F19="",'1 Setup'!G19=""),"FAIL: landscape, cluster or service missing",IF(COUNTIF(ENV_CODE,'1 Setup'!B19)&gt;1,"FAIL: duplicate environment code","PASS"))))</f>
        <v/>
      </c>
    </row>
    <row r="26">
      <c r="A26" s="14">
        <f>IF('1 Setup'!B20="","(empty row)",'1 Setup'!B20)</f>
        <v/>
      </c>
      <c r="B26" s="11">
        <f>IF('1 Setup'!E20="","-",'1 Setup'!E20)</f>
        <v/>
      </c>
      <c r="C26" s="11">
        <f>IF('1 Setup'!D20="","missing",'1 Setup'!D20)</f>
        <v/>
      </c>
      <c r="D26" s="11">
        <f>IF('1 Setup'!F20="","missing",'1 Setup'!F20)</f>
        <v/>
      </c>
      <c r="E26" s="11">
        <f>IF('1 Setup'!G20="","missing",'1 Setup'!G20)</f>
        <v/>
      </c>
      <c r="F26" s="11">
        <f>IF('3 Kafka Demand'!E13="","missing",'3 Kafka Demand'!E13)</f>
        <v/>
      </c>
      <c r="G26" s="26">
        <f>IF('1 Setup'!B20="","-",IF('1 Setup'!E20&lt;&gt;"Yes","INFO: out of scope",IF(OR('1 Setup'!D20="",'1 Setup'!F20="",'1 Setup'!G20=""),"FAIL: landscape, cluster or service missing",IF(COUNTIF(ENV_CODE,'1 Setup'!B20)&gt;1,"FAIL: duplicate environment code","PASS"))))</f>
        <v/>
      </c>
    </row>
    <row r="27">
      <c r="A27" s="14">
        <f>IF('1 Setup'!B21="","(empty row)",'1 Setup'!B21)</f>
        <v/>
      </c>
      <c r="B27" s="11">
        <f>IF('1 Setup'!E21="","-",'1 Setup'!E21)</f>
        <v/>
      </c>
      <c r="C27" s="11">
        <f>IF('1 Setup'!D21="","missing",'1 Setup'!D21)</f>
        <v/>
      </c>
      <c r="D27" s="11">
        <f>IF('1 Setup'!F21="","missing",'1 Setup'!F21)</f>
        <v/>
      </c>
      <c r="E27" s="11">
        <f>IF('1 Setup'!G21="","missing",'1 Setup'!G21)</f>
        <v/>
      </c>
      <c r="F27" s="11">
        <f>IF('3 Kafka Demand'!E14="","missing",'3 Kafka Demand'!E14)</f>
        <v/>
      </c>
      <c r="G27" s="26">
        <f>IF('1 Setup'!B21="","-",IF('1 Setup'!E21&lt;&gt;"Yes","INFO: out of scope",IF(OR('1 Setup'!D21="",'1 Setup'!F21="",'1 Setup'!G21=""),"FAIL: landscape, cluster or service missing",IF(COUNTIF(ENV_CODE,'1 Setup'!B21)&gt;1,"FAIL: duplicate environment code","PASS"))))</f>
        <v/>
      </c>
    </row>
  </sheetData>
  <sheetProtection selectLockedCells="0" selectUnlockedCells="0" sheet="1" objects="0" insertRows="1" insertHyperlinks="1" autoFilter="0" scenarios="0" formatColumns="0" deleteColumns="1" insertColumns="1" pivotTables="1" deleteRows="1" formatCells="0" formatRows="0" sort="0"/>
  <conditionalFormatting sqref="G5:G16">
    <cfRule type="expression" priority="1" dxfId="0">
      <formula>LEFT(G5,4)="FAIL"</formula>
    </cfRule>
    <cfRule type="expression" priority="2" dxfId="1">
      <formula>LEFT(G5,4)="WARN"</formula>
    </cfRule>
    <cfRule type="expression" priority="3" dxfId="2">
      <formula>LEFT(G5,4)="PASS"</formula>
    </cfRule>
    <cfRule type="expression" priority="4" dxfId="3">
      <formula>LEFT(G5,4)="INFO"</formula>
    </cfRule>
  </conditionalFormatting>
  <conditionalFormatting sqref="G20:G27">
    <cfRule type="expression" priority="5" dxfId="0">
      <formula>LEFT(G20,4)="FAIL"</formula>
    </cfRule>
    <cfRule type="expression" priority="6" dxfId="1">
      <formula>LEFT(G20,4)="WARN"</formula>
    </cfRule>
    <cfRule type="expression" priority="7" dxfId="2">
      <formula>LEFT(G20,4)="PASS"</formula>
    </cfRule>
    <cfRule type="expression" priority="8" dxfId="3">
      <formula>LEFT(G20,4)="INFO"</formula>
    </cfRule>
  </conditionalFormatting>
  <printOptions horizontalCentered="1"/>
  <pageMargins left="0.75" right="0.75" top="1" bottom="1" header="0.5" footer="0.5"/>
  <pageSetup orientation="landscape" fitToHeight="0" fitToWidth="1"/>
  <headerFooter>
    <oddHeader/>
    <oddFooter>&amp;LPega '26 Kafka and OpenSearch sizing workbook v1.0&amp;C&amp;A  -  page &amp;P of &amp;N</oddFooter>
    <evenHeader/>
    <evenFooter/>
    <firstHeader/>
    <firstFooter/>
  </headerFooter>
</worksheet>
</file>

<file path=xl/worksheets/sheet13.xml><?xml version="1.0" encoding="utf-8"?>
<worksheet xmlns="http://schemas.openxmlformats.org/spreadsheetml/2006/main">
  <sheetPr>
    <tabColor rgb="007F7F7F"/>
    <outlinePr summaryBelow="1" summaryRight="1"/>
    <pageSetUpPr fitToPage="1"/>
  </sheetPr>
  <dimension ref="A1:K99"/>
  <sheetViews>
    <sheetView showGridLines="0" workbookViewId="0">
      <pane ySplit="4" topLeftCell="A5" activePane="bottomLeft" state="frozen"/>
      <selection pane="bottomLeft" activeCell="A1" sqref="A1"/>
    </sheetView>
  </sheetViews>
  <sheetFormatPr baseColWidth="8" defaultRowHeight="15"/>
  <cols>
    <col width="22" customWidth="1" min="1" max="1"/>
    <col width="16" customWidth="1" min="2" max="2"/>
    <col width="52" customWidth="1" min="3" max="3"/>
    <col width="14" customWidth="1" min="4" max="4"/>
    <col width="14" customWidth="1" min="5" max="5"/>
    <col width="8" customWidth="1" min="6" max="6"/>
    <col width="96" customWidth="1" min="7" max="7"/>
    <col width="16" customWidth="1" min="8" max="8"/>
    <col width="16" customWidth="1" min="9" max="9"/>
    <col width="16" customWidth="1" min="10" max="10"/>
    <col width="60" customWidth="1" min="11" max="11"/>
  </cols>
  <sheetData>
    <row r="1">
      <c r="A1" s="21" t="inlineStr">
        <is>
          <t>Ref_Data: published figures used by the formulas</t>
        </is>
      </c>
    </row>
    <row r="2">
      <c r="A2" s="22" t="inlineStr">
        <is>
          <t>Every value below has a named range used in the formulas, the source ID and the quoted wording. Checked 6 Oct 2026. Do not edit unless the source changes; record any change in the Change Log.</t>
        </is>
      </c>
    </row>
    <row r="4" ht="30" customHeight="1">
      <c r="A4" s="9" t="inlineStr">
        <is>
          <t>Name (named range)</t>
        </is>
      </c>
      <c r="B4" s="9" t="inlineStr">
        <is>
          <t>Group</t>
        </is>
      </c>
      <c r="C4" s="9" t="inlineStr">
        <is>
          <t>Parameter</t>
        </is>
      </c>
      <c r="D4" s="9" t="inlineStr">
        <is>
          <t>Value</t>
        </is>
      </c>
      <c r="E4" s="9" t="inlineStr">
        <is>
          <t>Unit</t>
        </is>
      </c>
      <c r="F4" s="9" t="inlineStr">
        <is>
          <t>Ref</t>
        </is>
      </c>
      <c r="G4" s="9" t="inlineStr">
        <is>
          <t>Quoted evidence</t>
        </is>
      </c>
    </row>
    <row r="5" ht="29" customHeight="1">
      <c r="A5" s="27" t="inlineStr">
        <is>
          <t>P_KAFKA_PARTS</t>
        </is>
      </c>
      <c r="B5" s="27" t="inlineStr">
        <is>
          <t>Pega Kafka</t>
        </is>
      </c>
      <c r="C5" s="27" t="inlineStr">
        <is>
          <t>Partitions supported by the Table 1 configuration</t>
        </is>
      </c>
      <c r="D5" s="52" t="n">
        <v>1000</v>
      </c>
      <c r="E5" s="25" t="inlineStr">
        <is>
          <t>partitions</t>
        </is>
      </c>
      <c r="F5" s="25" t="inlineStr">
        <is>
          <t>P1</t>
        </is>
      </c>
      <c r="G5" s="27" t="inlineStr">
        <is>
          <t>The configuration in the preceding table can easily support up to 1000 Kafka partitions. You can increase resources accordingly if your deployment requires more Kafka partitions.</t>
        </is>
      </c>
    </row>
    <row r="6" ht="15.5" customHeight="1">
      <c r="A6" s="27" t="inlineStr">
        <is>
          <t>P_KAFKA_DEV_N</t>
        </is>
      </c>
      <c r="B6" s="27" t="inlineStr">
        <is>
          <t>Pega Kafka</t>
        </is>
      </c>
      <c r="C6" s="27" t="inlineStr">
        <is>
          <t>Development: instance count</t>
        </is>
      </c>
      <c r="D6" s="53" t="n">
        <v>3</v>
      </c>
      <c r="E6" s="25" t="inlineStr">
        <is>
          <t>brokers</t>
        </is>
      </c>
      <c r="F6" s="25" t="inlineStr">
        <is>
          <t>P1</t>
        </is>
      </c>
      <c r="G6" s="27" t="inlineStr">
        <is>
          <t>Table 1. Development 3 2 6 8 24 100</t>
        </is>
      </c>
    </row>
    <row r="7" ht="15.5" customHeight="1">
      <c r="A7" s="27" t="inlineStr">
        <is>
          <t>P_KAFKA_DEV_CPU</t>
        </is>
      </c>
      <c r="B7" s="27" t="inlineStr">
        <is>
          <t>Pega Kafka</t>
        </is>
      </c>
      <c r="C7" s="27" t="inlineStr">
        <is>
          <t>Development: CPU cores per instance</t>
        </is>
      </c>
      <c r="D7" s="53" t="n">
        <v>2</v>
      </c>
      <c r="E7" s="25" t="inlineStr">
        <is>
          <t>cores</t>
        </is>
      </c>
      <c r="F7" s="25" t="inlineStr">
        <is>
          <t>P1</t>
        </is>
      </c>
      <c r="G7" s="27" t="inlineStr">
        <is>
          <t>Table 1. Development 3 2 6 8 24 100</t>
        </is>
      </c>
    </row>
    <row r="8" ht="15.5" customHeight="1">
      <c r="A8" s="27" t="inlineStr">
        <is>
          <t>P_KAFKA_DEV_RAM</t>
        </is>
      </c>
      <c r="B8" s="27" t="inlineStr">
        <is>
          <t>Pega Kafka</t>
        </is>
      </c>
      <c r="C8" s="27" t="inlineStr">
        <is>
          <t>Development: memory per instance</t>
        </is>
      </c>
      <c r="D8" s="53" t="n">
        <v>8</v>
      </c>
      <c r="E8" s="25" t="inlineStr">
        <is>
          <t>GB</t>
        </is>
      </c>
      <c r="F8" s="25" t="inlineStr">
        <is>
          <t>P1</t>
        </is>
      </c>
      <c r="G8" s="27" t="inlineStr">
        <is>
          <t>Table 1. Development 3 2 6 8 24 100</t>
        </is>
      </c>
    </row>
    <row r="9" ht="15.5" customHeight="1">
      <c r="A9" s="27" t="inlineStr">
        <is>
          <t>P_KAFKA_DEV_DISK</t>
        </is>
      </c>
      <c r="B9" s="27" t="inlineStr">
        <is>
          <t>Pega Kafka</t>
        </is>
      </c>
      <c r="C9" s="27" t="inlineStr">
        <is>
          <t>Development: storage per instance</t>
        </is>
      </c>
      <c r="D9" s="53" t="n">
        <v>100</v>
      </c>
      <c r="E9" s="25" t="inlineStr">
        <is>
          <t>GB</t>
        </is>
      </c>
      <c r="F9" s="25" t="inlineStr">
        <is>
          <t>P1</t>
        </is>
      </c>
      <c r="G9" s="27" t="inlineStr">
        <is>
          <t>Table 1. Development 3 2 6 8 24 100</t>
        </is>
      </c>
    </row>
    <row r="10" ht="15.5" customHeight="1">
      <c r="A10" s="27" t="inlineStr">
        <is>
          <t>P_KAFKA_PRD_N</t>
        </is>
      </c>
      <c r="B10" s="27" t="inlineStr">
        <is>
          <t>Pega Kafka</t>
        </is>
      </c>
      <c r="C10" s="27" t="inlineStr">
        <is>
          <t>Production: instance count</t>
        </is>
      </c>
      <c r="D10" s="53" t="n">
        <v>3</v>
      </c>
      <c r="E10" s="25" t="inlineStr">
        <is>
          <t>brokers</t>
        </is>
      </c>
      <c r="F10" s="25" t="inlineStr">
        <is>
          <t>P1</t>
        </is>
      </c>
      <c r="G10" s="27" t="inlineStr">
        <is>
          <t>Table 1. Production 3 4 12 16 48 200</t>
        </is>
      </c>
    </row>
    <row r="11" ht="15.5" customHeight="1">
      <c r="A11" s="27" t="inlineStr">
        <is>
          <t>P_KAFKA_PRD_CPU</t>
        </is>
      </c>
      <c r="B11" s="27" t="inlineStr">
        <is>
          <t>Pega Kafka</t>
        </is>
      </c>
      <c r="C11" s="27" t="inlineStr">
        <is>
          <t>Production: CPU cores per instance</t>
        </is>
      </c>
      <c r="D11" s="53" t="n">
        <v>4</v>
      </c>
      <c r="E11" s="25" t="inlineStr">
        <is>
          <t>cores</t>
        </is>
      </c>
      <c r="F11" s="25" t="inlineStr">
        <is>
          <t>P1</t>
        </is>
      </c>
      <c r="G11" s="27" t="inlineStr">
        <is>
          <t>Table 1. Production 3 4 12 16 48 200</t>
        </is>
      </c>
    </row>
    <row r="12" ht="15.5" customHeight="1">
      <c r="A12" s="27" t="inlineStr">
        <is>
          <t>P_KAFKA_PRD_RAM</t>
        </is>
      </c>
      <c r="B12" s="27" t="inlineStr">
        <is>
          <t>Pega Kafka</t>
        </is>
      </c>
      <c r="C12" s="27" t="inlineStr">
        <is>
          <t>Production: memory per instance</t>
        </is>
      </c>
      <c r="D12" s="53" t="n">
        <v>16</v>
      </c>
      <c r="E12" s="25" t="inlineStr">
        <is>
          <t>GB</t>
        </is>
      </c>
      <c r="F12" s="25" t="inlineStr">
        <is>
          <t>P1</t>
        </is>
      </c>
      <c r="G12" s="27" t="inlineStr">
        <is>
          <t>Table 1. Production 3 4 12 16 48 200</t>
        </is>
      </c>
    </row>
    <row r="13" ht="15.5" customHeight="1">
      <c r="A13" s="27" t="inlineStr">
        <is>
          <t>P_KAFKA_PRD_DISK</t>
        </is>
      </c>
      <c r="B13" s="27" t="inlineStr">
        <is>
          <t>Pega Kafka</t>
        </is>
      </c>
      <c r="C13" s="27" t="inlineStr">
        <is>
          <t>Production: storage per instance</t>
        </is>
      </c>
      <c r="D13" s="53" t="n">
        <v>200</v>
      </c>
      <c r="E13" s="25" t="inlineStr">
        <is>
          <t>GB</t>
        </is>
      </c>
      <c r="F13" s="25" t="inlineStr">
        <is>
          <t>P1</t>
        </is>
      </c>
      <c r="G13" s="27" t="inlineStr">
        <is>
          <t>Table 1. Production 3 4 12 16 48 200</t>
        </is>
      </c>
    </row>
    <row r="14" ht="15.5" customHeight="1">
      <c r="A14" s="27" t="inlineStr">
        <is>
          <t>P_MSG_MAX</t>
        </is>
      </c>
      <c r="B14" s="27" t="inlineStr">
        <is>
          <t>Pega Kafka</t>
        </is>
      </c>
      <c r="C14" s="27" t="inlineStr">
        <is>
          <t>message.max.bytes required</t>
        </is>
      </c>
      <c r="D14" s="52" t="n">
        <v>5000000</v>
      </c>
      <c r="E14" s="25" t="inlineStr">
        <is>
          <t>bytes</t>
        </is>
      </c>
      <c r="F14" s="25" t="inlineStr">
        <is>
          <t>P1</t>
        </is>
      </c>
      <c r="G14" s="27" t="inlineStr">
        <is>
          <t>message.max.bytes The default maximum message size supported is 5000000.</t>
        </is>
      </c>
    </row>
    <row r="15" ht="29" customHeight="1">
      <c r="A15" s="27" t="inlineStr">
        <is>
          <t>P_REPL_FETCH</t>
        </is>
      </c>
      <c r="B15" s="27" t="inlineStr">
        <is>
          <t>Pega Kafka</t>
        </is>
      </c>
      <c r="C15" s="27" t="inlineStr">
        <is>
          <t>replica.fetch.max.bytes and replica.fetch.response.max.bytes</t>
        </is>
      </c>
      <c r="D15" s="52" t="n">
        <v>5000100</v>
      </c>
      <c r="E15" s="25" t="inlineStr">
        <is>
          <t>bytes</t>
        </is>
      </c>
      <c r="F15" s="25" t="inlineStr">
        <is>
          <t>P1</t>
        </is>
      </c>
      <c r="G15" s="27" t="inlineStr">
        <is>
          <t>replica.fetch.max.bytes ... 5000100; replica.fetch.response.max.bytes ... 5000100</t>
        </is>
      </c>
    </row>
    <row r="16" ht="15.5" customHeight="1">
      <c r="A16" s="27" t="inlineStr">
        <is>
          <t>P_QP_PARTS</t>
        </is>
      </c>
      <c r="B16" s="27" t="inlineStr">
        <is>
          <t>Pega Kafka</t>
        </is>
      </c>
      <c r="C16" s="27" t="inlineStr">
        <is>
          <t>Partitions per queue processor topic (default)</t>
        </is>
      </c>
      <c r="D16" s="53" t="n">
        <v>6</v>
      </c>
      <c r="E16" s="25" t="inlineStr">
        <is>
          <t>partitions</t>
        </is>
      </c>
      <c r="F16" s="25" t="inlineStr">
        <is>
          <t>P3</t>
        </is>
      </c>
      <c r="G16" s="27" t="inlineStr">
        <is>
          <t>By default, for each queue processor, Pega Platform creates a Kafka topic with six partitions.</t>
        </is>
      </c>
    </row>
    <row r="17" ht="15.5" customHeight="1">
      <c r="A17" s="27" t="inlineStr">
        <is>
          <t>P_TOPIC_PARTS</t>
        </is>
      </c>
      <c r="B17" s="27" t="inlineStr">
        <is>
          <t>Pega Kafka</t>
        </is>
      </c>
      <c r="C17" s="27" t="inlineStr">
        <is>
          <t>Default partitions per topic from Pega 8.7</t>
        </is>
      </c>
      <c r="D17" s="53" t="n">
        <v>6</v>
      </c>
      <c r="E17" s="25" t="inlineStr">
        <is>
          <t>partitions</t>
        </is>
      </c>
      <c r="F17" s="25" t="inlineStr">
        <is>
          <t>P4</t>
        </is>
      </c>
      <c r="G17" s="27" t="inlineStr">
        <is>
          <t>Starting in Pega Platform version 8.7, the default number of partitions per topic is six.</t>
        </is>
      </c>
    </row>
    <row r="18" ht="15.5" customHeight="1">
      <c r="A18" s="54" t="inlineStr">
        <is>
          <t>P_FREE_DISK</t>
        </is>
      </c>
      <c r="B18" s="54" t="inlineStr">
        <is>
          <t>Pega Kafka</t>
        </is>
      </c>
      <c r="C18" s="54" t="inlineStr">
        <is>
          <t>Act when free disk falls below</t>
        </is>
      </c>
      <c r="D18" s="55" t="n">
        <v>0.3</v>
      </c>
      <c r="E18" s="56" t="inlineStr">
        <is>
          <t>fraction</t>
        </is>
      </c>
      <c r="F18" s="56" t="inlineStr">
        <is>
          <t>P5</t>
        </is>
      </c>
      <c r="G18" s="54" t="inlineStr">
        <is>
          <t>take actions, for example, increase disk space, when the availability of free space drops below 30%.</t>
        </is>
      </c>
    </row>
    <row r="19" ht="15.5" customHeight="1">
      <c r="A19" s="54" t="inlineStr">
        <is>
          <t>P_CPU_ACT</t>
        </is>
      </c>
      <c r="B19" s="54" t="inlineStr">
        <is>
          <t>Pega Kafka</t>
        </is>
      </c>
      <c r="C19" s="54" t="inlineStr">
        <is>
          <t>Consider a bigger node when average CPU is above</t>
        </is>
      </c>
      <c r="D19" s="55" t="n">
        <v>0.7</v>
      </c>
      <c r="E19" s="56" t="inlineStr">
        <is>
          <t>fraction</t>
        </is>
      </c>
      <c r="F19" s="56" t="inlineStr">
        <is>
          <t>P5</t>
        </is>
      </c>
      <c r="G19" s="54" t="inlineStr">
        <is>
          <t>If the CPU average usage is above 70%, consider provisioning a bigger node.</t>
        </is>
      </c>
    </row>
    <row r="20" ht="15.5" customHeight="1">
      <c r="A20" s="27" t="inlineStr">
        <is>
          <t>P_HELM_RF</t>
        </is>
      </c>
      <c r="B20" s="27" t="inlineStr">
        <is>
          <t>Pega Kafka</t>
        </is>
      </c>
      <c r="C20" s="27" t="inlineStr">
        <is>
          <t>Helm replicationFactor upper bound</t>
        </is>
      </c>
      <c r="D20" s="53" t="n">
        <v>3</v>
      </c>
      <c r="E20" s="25" t="inlineStr">
        <is>
          <t>replicas</t>
        </is>
      </c>
      <c r="F20" s="25" t="inlineStr">
        <is>
          <t>P7</t>
        </is>
      </c>
      <c r="G20" s="27" t="inlineStr">
        <is>
          <t>Your replicationFactor value cannot be more than the number of Kafka brokers and 3.</t>
        </is>
      </c>
    </row>
    <row r="21" ht="29" customHeight="1">
      <c r="A21" s="27" t="inlineStr">
        <is>
          <t>P_SEARCH_HA</t>
        </is>
      </c>
      <c r="B21" s="27" t="inlineStr">
        <is>
          <t>Pega search</t>
        </is>
      </c>
      <c r="C21" s="27" t="inlineStr">
        <is>
          <t>Minimum nodes per search service for high availability</t>
        </is>
      </c>
      <c r="D21" s="53" t="n">
        <v>3</v>
      </c>
      <c r="E21" s="25" t="inlineStr">
        <is>
          <t>nodes</t>
        </is>
      </c>
      <c r="F21" s="25" t="inlineStr">
        <is>
          <t>P2</t>
        </is>
      </c>
      <c r="G21" s="27" t="inlineStr">
        <is>
          <t>to ensure high availability, deploy Elasticsearch/OpenSearch (Master and Data nodes) and SRS with a minimum of three nodes for each service.</t>
        </is>
      </c>
    </row>
    <row r="22" ht="29" customHeight="1">
      <c r="A22" s="27" t="inlineStr">
        <is>
          <t>P_SEARCH_LARGE_GB</t>
        </is>
      </c>
      <c r="B22" s="27" t="inlineStr">
        <is>
          <t>Pega search</t>
        </is>
      </c>
      <c r="C22" s="27" t="inlineStr">
        <is>
          <t>Searchable data in the Table 4 (large) example</t>
        </is>
      </c>
      <c r="D22" s="52" t="n">
        <v>2000</v>
      </c>
      <c r="E22" s="25" t="inlineStr">
        <is>
          <t>GB</t>
        </is>
      </c>
      <c r="F22" s="25" t="inlineStr">
        <is>
          <t>P2</t>
        </is>
      </c>
      <c r="G22" s="27" t="inlineStr">
        <is>
          <t>Table 4. Recommended sizing for nodes running Elasticsearch/OpenSearch and SRS in a deployment with 2TB of Searchable Data and ~750,000 Documents</t>
        </is>
      </c>
    </row>
    <row r="23" ht="15.5" customHeight="1">
      <c r="A23" s="27" t="inlineStr">
        <is>
          <t>P_SEARCH_LARGE_DOCS</t>
        </is>
      </c>
      <c r="B23" s="27" t="inlineStr">
        <is>
          <t>Pega search</t>
        </is>
      </c>
      <c r="C23" s="27" t="inlineStr">
        <is>
          <t>Documents in the Table 4 (large) example</t>
        </is>
      </c>
      <c r="D23" s="52" t="n">
        <v>750000</v>
      </c>
      <c r="E23" s="25" t="inlineStr">
        <is>
          <t>documents</t>
        </is>
      </c>
      <c r="F23" s="25" t="inlineStr">
        <is>
          <t>P2</t>
        </is>
      </c>
      <c r="G23" s="27" t="inlineStr">
        <is>
          <t>in a deployment with 2TB of Searchable Data and ~750,000 Documents</t>
        </is>
      </c>
    </row>
    <row r="24" ht="29" customHeight="1">
      <c r="A24" s="27" t="inlineStr">
        <is>
          <t>CF_RF</t>
        </is>
      </c>
      <c r="B24" s="27" t="inlineStr">
        <is>
          <t>Confluent</t>
        </is>
      </c>
      <c r="C24" s="27" t="inlineStr">
        <is>
          <t>Replication factor (default.replication.factor, not editable)</t>
        </is>
      </c>
      <c r="D24" s="53" t="n">
        <v>3</v>
      </c>
      <c r="E24" s="25" t="inlineStr">
        <is>
          <t>replicas</t>
        </is>
      </c>
      <c r="F24" s="25" t="inlineStr">
        <is>
          <t>C3</t>
        </is>
      </c>
      <c r="G24" s="27" t="inlineStr">
        <is>
          <t>default.replication.factor ... Default: 3 Editable: No</t>
        </is>
      </c>
    </row>
    <row r="25" ht="29" customHeight="1">
      <c r="A25" s="27" t="inlineStr">
        <is>
          <t>CF_MSG_DEFAULT</t>
        </is>
      </c>
      <c r="B25" s="27" t="inlineStr">
        <is>
          <t>Confluent</t>
        </is>
      </c>
      <c r="C25" s="27" t="inlineStr">
        <is>
          <t>Topic max.message.bytes default</t>
        </is>
      </c>
      <c r="D25" s="52" t="n">
        <v>2097164</v>
      </c>
      <c r="E25" s="25" t="inlineStr">
        <is>
          <t>bytes</t>
        </is>
      </c>
      <c r="F25" s="25" t="inlineStr">
        <is>
          <t>C3</t>
        </is>
      </c>
      <c r="G25" s="27" t="inlineStr">
        <is>
          <t>max.message.bytes ... Default: 2,097,164 ... Dedicated and Enterprise Kafka clusters maximum value: 20,971,520 Basic and Standard Kafka clusters maximum value: 8,388,608</t>
        </is>
      </c>
    </row>
    <row r="26" ht="15.5" customHeight="1">
      <c r="A26" s="27" t="inlineStr">
        <is>
          <t>CF_RETENTION_H</t>
        </is>
      </c>
      <c r="B26" s="27" t="inlineStr">
        <is>
          <t>Confluent</t>
        </is>
      </c>
      <c r="C26" s="27" t="inlineStr">
        <is>
          <t>Topic retention.ms default (604,800,000 ms)</t>
        </is>
      </c>
      <c r="D26" s="53" t="n">
        <v>168</v>
      </c>
      <c r="E26" s="25" t="inlineStr">
        <is>
          <t>hours</t>
        </is>
      </c>
      <c r="F26" s="25" t="inlineStr">
        <is>
          <t>C3</t>
        </is>
      </c>
      <c r="G26" s="27" t="inlineStr">
        <is>
          <t>retention.ms ... Default: 604,800,000 Editable: Yes</t>
        </is>
      </c>
    </row>
    <row r="27" ht="29" customHeight="1">
      <c r="A27" s="27" t="inlineStr">
        <is>
          <t>CF_STORAGE_X</t>
        </is>
      </c>
      <c r="B27" s="27" t="inlineStr">
        <is>
          <t>Confluent</t>
        </is>
      </c>
      <c r="C27" s="27" t="inlineStr">
        <is>
          <t>Billed storage relative to data written</t>
        </is>
      </c>
      <c r="D27" s="53" t="n">
        <v>3</v>
      </c>
      <c r="E27" s="25" t="inlineStr">
        <is>
          <t>times</t>
        </is>
      </c>
      <c r="F27" s="25" t="inlineStr">
        <is>
          <t>C2</t>
        </is>
      </c>
      <c r="G27" s="27" t="inlineStr">
        <is>
          <t>Because Confluent Cloud replicates data three times for high availability, billed storage is typically about 3x the volume you write.</t>
        </is>
      </c>
    </row>
    <row r="28" ht="29" customHeight="1">
      <c r="A28" s="27" t="inlineStr">
        <is>
          <t>CF_ENT_FAST</t>
        </is>
      </c>
      <c r="B28" s="27" t="inlineStr">
        <is>
          <t>Confluent</t>
        </is>
      </c>
      <c r="C28" s="27" t="inlineStr">
        <is>
          <t>Enterprise fast scaling up to</t>
        </is>
      </c>
      <c r="D28" s="53" t="n">
        <v>10</v>
      </c>
      <c r="E28" s="25" t="inlineStr">
        <is>
          <t>eCKU</t>
        </is>
      </c>
      <c r="F28" s="25" t="inlineStr">
        <is>
          <t>C1</t>
        </is>
      </c>
      <c r="G28" s="27" t="inlineStr">
        <is>
          <t>All Enterprise clusters support fast scaling up to 10 eCKU ... Beyond 10 eCKU ... approximately 20 minutes per eCKU.</t>
        </is>
      </c>
    </row>
    <row r="29" ht="15.5" customHeight="1">
      <c r="A29" s="27" t="inlineStr">
        <is>
          <t>CF_ENT_SCALE_MIN</t>
        </is>
      </c>
      <c r="B29" s="27" t="inlineStr">
        <is>
          <t>Confluent</t>
        </is>
      </c>
      <c r="C29" s="27" t="inlineStr">
        <is>
          <t>Enterprise on-demand scaling beyond 10 eCKU</t>
        </is>
      </c>
      <c r="D29" s="53" t="n">
        <v>20</v>
      </c>
      <c r="E29" s="25" t="inlineStr">
        <is>
          <t>minutes per eCKU</t>
        </is>
      </c>
      <c r="F29" s="25" t="inlineStr">
        <is>
          <t>C1</t>
        </is>
      </c>
      <c r="G29" s="27" t="inlineStr">
        <is>
          <t>On-demand scaling might be limited to a growth rate of approximately 20 minutes per eCKU.</t>
        </is>
      </c>
    </row>
    <row r="30" ht="29" customHeight="1">
      <c r="A30" s="27" t="inlineStr">
        <is>
          <t>CF_DED_CARD</t>
        </is>
      </c>
      <c r="B30" s="27" t="inlineStr">
        <is>
          <t>Confluent</t>
        </is>
      </c>
      <c r="C30" s="27" t="inlineStr">
        <is>
          <t>Dedicated CKU purchase limit with credit card billing</t>
        </is>
      </c>
      <c r="D30" s="53" t="n">
        <v>4</v>
      </c>
      <c r="E30" s="25" t="inlineStr">
        <is>
          <t>CKU</t>
        </is>
      </c>
      <c r="F30" s="25" t="inlineStr">
        <is>
          <t>C1</t>
        </is>
      </c>
      <c r="G30" s="27" t="inlineStr">
        <is>
          <t>For organizations with credit card billing, the upper limit is 4 CKUs per Dedicated cluster. Clusters with higher CKU limits are available by request.</t>
        </is>
      </c>
    </row>
    <row r="31" ht="29" customHeight="1">
      <c r="A31" s="27" t="inlineStr">
        <is>
          <t>CF_DED_INVOICE</t>
        </is>
      </c>
      <c r="B31" s="27" t="inlineStr">
        <is>
          <t>Confluent</t>
        </is>
      </c>
      <c r="C31" s="27" t="inlineStr">
        <is>
          <t>Dedicated CKU purchase limit with invoice or marketplace billing</t>
        </is>
      </c>
      <c r="D31" s="53" t="n">
        <v>24</v>
      </c>
      <c r="E31" s="25" t="inlineStr">
        <is>
          <t>CKU</t>
        </is>
      </c>
      <c r="F31" s="25" t="inlineStr">
        <is>
          <t>C1</t>
        </is>
      </c>
      <c r="G31" s="27" t="inlineStr">
        <is>
          <t>For organizations with integrated cloud provider billing or payment using an invoice, the upper limit is 24 CKUs per Dedicated cluster.</t>
        </is>
      </c>
    </row>
    <row r="32" ht="15.5" customHeight="1">
      <c r="A32" s="27" t="inlineStr">
        <is>
          <t>CF_DED_AZURE</t>
        </is>
      </c>
      <c r="B32" s="27" t="inlineStr">
        <is>
          <t>Confluent</t>
        </is>
      </c>
      <c r="C32" s="27" t="inlineStr">
        <is>
          <t>Dedicated maximum on Azure (by request)</t>
        </is>
      </c>
      <c r="D32" s="53" t="n">
        <v>100</v>
      </c>
      <c r="E32" s="25" t="inlineStr">
        <is>
          <t>CKU</t>
        </is>
      </c>
      <c r="F32" s="25" t="inlineStr">
        <is>
          <t>C1</t>
        </is>
      </c>
      <c r="G32" s="27" t="inlineStr">
        <is>
          <t>Azure supports up to 100 CKUs (available by request).</t>
        </is>
      </c>
    </row>
    <row r="33" ht="29" customHeight="1">
      <c r="A33" s="27" t="inlineStr">
        <is>
          <t>O_SHARDS_NODE</t>
        </is>
      </c>
      <c r="B33" s="27" t="inlineStr">
        <is>
          <t>OpenSearch</t>
        </is>
      </c>
      <c r="C33" s="27" t="inlineStr">
        <is>
          <t>cluster.max_shards_per_node default</t>
        </is>
      </c>
      <c r="D33" s="52" t="n">
        <v>1000</v>
      </c>
      <c r="E33" s="25" t="inlineStr">
        <is>
          <t>shards</t>
        </is>
      </c>
      <c r="F33" s="25" t="inlineStr">
        <is>
          <t>O3</t>
        </is>
      </c>
      <c r="G33" s="27" t="inlineStr">
        <is>
          <t>cluster.max_shards_per_node (Integer): Limits the total number of primary and replica shards for the cluster ... multiplied by the number of non-frozen data nodes ... Default is 1000.</t>
        </is>
      </c>
    </row>
    <row r="34" ht="29" customHeight="1">
      <c r="A34" s="54" t="inlineStr">
        <is>
          <t>O_WM_LOW</t>
        </is>
      </c>
      <c r="B34" s="54" t="inlineStr">
        <is>
          <t>OpenSearch</t>
        </is>
      </c>
      <c r="C34" s="54" t="inlineStr">
        <is>
          <t>Low disk watermark default</t>
        </is>
      </c>
      <c r="D34" s="55" t="n">
        <v>0.85</v>
      </c>
      <c r="E34" s="56" t="inlineStr">
        <is>
          <t>fraction</t>
        </is>
      </c>
      <c r="F34" s="56" t="inlineStr">
        <is>
          <t>O3</t>
        </is>
      </c>
      <c r="G34" s="54" t="inlineStr">
        <is>
          <t>watermark.low ... OpenSearch will not allocate shards to nodes with that percentage of disk usage ... Default is 85%.</t>
        </is>
      </c>
    </row>
    <row r="35" ht="29" customHeight="1">
      <c r="A35" s="54" t="inlineStr">
        <is>
          <t>O_WM_HIGH</t>
        </is>
      </c>
      <c r="B35" s="54" t="inlineStr">
        <is>
          <t>OpenSearch</t>
        </is>
      </c>
      <c r="C35" s="54" t="inlineStr">
        <is>
          <t>High disk watermark default</t>
        </is>
      </c>
      <c r="D35" s="55" t="n">
        <v>0.9</v>
      </c>
      <c r="E35" s="56" t="inlineStr">
        <is>
          <t>fraction</t>
        </is>
      </c>
      <c r="F35" s="56" t="inlineStr">
        <is>
          <t>O3</t>
        </is>
      </c>
      <c r="G35" s="54" t="inlineStr">
        <is>
          <t>watermark.high ... OpenSearch will attempt to relocate shards away from a node whose disk usage is above the defined percentage ... Default is 90%.</t>
        </is>
      </c>
    </row>
    <row r="36" ht="15.5" customHeight="1">
      <c r="A36" s="54" t="inlineStr">
        <is>
          <t>O_HEAP</t>
        </is>
      </c>
      <c r="B36" s="54" t="inlineStr">
        <is>
          <t>OpenSearch</t>
        </is>
      </c>
      <c r="C36" s="54" t="inlineStr">
        <is>
          <t>Java heap as a fraction of node RAM</t>
        </is>
      </c>
      <c r="D36" s="55" t="n">
        <v>0.5</v>
      </c>
      <c r="E36" s="56" t="inlineStr">
        <is>
          <t>fraction</t>
        </is>
      </c>
      <c r="F36" s="56" t="inlineStr">
        <is>
          <t>O4</t>
        </is>
      </c>
      <c r="G36" s="54" t="inlineStr">
        <is>
          <t>Sets the size of the Java heap (we recommend half of system RAM).</t>
        </is>
      </c>
    </row>
    <row r="37" ht="29" customHeight="1">
      <c r="A37" s="27" t="inlineStr">
        <is>
          <t>O_MANAGERS</t>
        </is>
      </c>
      <c r="B37" s="27" t="inlineStr">
        <is>
          <t>OpenSearch</t>
        </is>
      </c>
      <c r="C37" s="27" t="inlineStr">
        <is>
          <t>Dedicated cluster manager nodes for production</t>
        </is>
      </c>
      <c r="D37" s="53" t="n">
        <v>3</v>
      </c>
      <c r="E37" s="25" t="inlineStr">
        <is>
          <t>nodes</t>
        </is>
      </c>
      <c r="F37" s="25" t="inlineStr">
        <is>
          <t>O1</t>
        </is>
      </c>
      <c r="G37" s="27" t="inlineStr">
        <is>
          <t>Three dedicated cluster manager nodes in three different zones is the right approach for almost all production use cases.</t>
        </is>
      </c>
    </row>
    <row r="38" ht="29" customHeight="1">
      <c r="A38" s="54" t="inlineStr">
        <is>
          <t>A_INDEX_OVH</t>
        </is>
      </c>
      <c r="B38" s="54" t="inlineStr">
        <is>
          <t>AWS guidance</t>
        </is>
      </c>
      <c r="C38" s="54" t="inlineStr">
        <is>
          <t>Indexing overhead</t>
        </is>
      </c>
      <c r="D38" s="55" t="n">
        <v>0.1</v>
      </c>
      <c r="E38" s="56" t="inlineStr">
        <is>
          <t>fraction</t>
        </is>
      </c>
      <c r="F38" s="56" t="inlineStr">
        <is>
          <t>A1</t>
        </is>
      </c>
      <c r="G38" s="54" t="inlineStr">
        <is>
          <t>The total size of the source data plus the index is often 110% of the source, with the index up to 10% of the source data.</t>
        </is>
      </c>
    </row>
    <row r="39" ht="15.5" customHeight="1">
      <c r="A39" s="54" t="inlineStr">
        <is>
          <t>A_LINUX</t>
        </is>
      </c>
      <c r="B39" s="54" t="inlineStr">
        <is>
          <t>AWS guidance</t>
        </is>
      </c>
      <c r="C39" s="54" t="inlineStr">
        <is>
          <t>Linux reserved space</t>
        </is>
      </c>
      <c r="D39" s="55" t="n">
        <v>0.05</v>
      </c>
      <c r="E39" s="56" t="inlineStr">
        <is>
          <t>fraction</t>
        </is>
      </c>
      <c r="F39" s="56" t="inlineStr">
        <is>
          <t>A1</t>
        </is>
      </c>
      <c r="G39" s="54" t="inlineStr">
        <is>
          <t>By default, Linux reserves 5% of the file system for the root user</t>
        </is>
      </c>
    </row>
    <row r="40" ht="29" customHeight="1">
      <c r="A40" s="54" t="inlineStr">
        <is>
          <t>A_SVC_OVH</t>
        </is>
      </c>
      <c r="B40" s="54" t="inlineStr">
        <is>
          <t>AWS guidance</t>
        </is>
      </c>
      <c r="C40" s="54" t="inlineStr">
        <is>
          <t>Service overhead (AWS figure; replace with your provider's figure)</t>
        </is>
      </c>
      <c r="D40" s="55" t="n">
        <v>0.2</v>
      </c>
      <c r="E40" s="56" t="inlineStr">
        <is>
          <t>fraction</t>
        </is>
      </c>
      <c r="F40" s="56" t="inlineStr">
        <is>
          <t>A1</t>
        </is>
      </c>
      <c r="G40" s="54" t="inlineStr">
        <is>
          <t>OpenSearch Service reserves 20% of the storage space of each instance (up to 20 GiB) for segment merges, logs, and other internal operations.</t>
        </is>
      </c>
    </row>
    <row r="41" ht="15.5" customHeight="1">
      <c r="A41" s="27" t="inlineStr">
        <is>
          <t>A_SIMPLE</t>
        </is>
      </c>
      <c r="B41" s="27" t="inlineStr">
        <is>
          <t>AWS guidance</t>
        </is>
      </c>
      <c r="C41" s="27" t="inlineStr">
        <is>
          <t>Simplified storage multiplier</t>
        </is>
      </c>
      <c r="D41" s="53" t="n">
        <v>1.45</v>
      </c>
      <c r="E41" s="25" t="inlineStr">
        <is>
          <t>times</t>
        </is>
      </c>
      <c r="F41" s="25" t="inlineStr">
        <is>
          <t>A1</t>
        </is>
      </c>
      <c r="G41" s="27" t="inlineStr">
        <is>
          <t>Source data * (1 + number of replicas) * 1.45 = minimum storage requirement</t>
        </is>
      </c>
    </row>
    <row r="42" ht="15.5" customHeight="1">
      <c r="A42" s="27" t="inlineStr">
        <is>
          <t>A_SHARDS_HEAP</t>
        </is>
      </c>
      <c r="B42" s="27" t="inlineStr">
        <is>
          <t>AWS guidance</t>
        </is>
      </c>
      <c r="C42" s="27" t="inlineStr">
        <is>
          <t>Maximum shards per GiB of Java heap</t>
        </is>
      </c>
      <c r="D42" s="53" t="n">
        <v>25</v>
      </c>
      <c r="E42" s="25" t="inlineStr">
        <is>
          <t>shards</t>
        </is>
      </c>
      <c r="F42" s="25" t="inlineStr">
        <is>
          <t>A2</t>
        </is>
      </c>
      <c r="G42" s="27" t="inlineStr">
        <is>
          <t>On a given node, have no more than 25 shards per GiB of Java heap.</t>
        </is>
      </c>
    </row>
    <row r="43" ht="15.5" customHeight="1">
      <c r="A43" s="27" t="inlineStr">
        <is>
          <t>A_SHARD_MIN</t>
        </is>
      </c>
      <c r="B43" s="27" t="inlineStr">
        <is>
          <t>AWS guidance</t>
        </is>
      </c>
      <c r="C43" s="27" t="inlineStr">
        <is>
          <t>Shard size guideline, lower end</t>
        </is>
      </c>
      <c r="D43" s="53" t="n">
        <v>10</v>
      </c>
      <c r="E43" s="25" t="inlineStr">
        <is>
          <t>GiB</t>
        </is>
      </c>
      <c r="F43" s="25" t="inlineStr">
        <is>
          <t>A2</t>
        </is>
      </c>
      <c r="G43" s="27" t="inlineStr">
        <is>
          <t>keep shard size between 10-30 GiB for workloads where search latency is a key performance objective</t>
        </is>
      </c>
    </row>
    <row r="44" ht="15.5" customHeight="1">
      <c r="A44" s="27" t="inlineStr">
        <is>
          <t>A_SHARD_MAX</t>
        </is>
      </c>
      <c r="B44" s="27" t="inlineStr">
        <is>
          <t>AWS guidance</t>
        </is>
      </c>
      <c r="C44" s="27" t="inlineStr">
        <is>
          <t>Shard size guideline, upper end (write-heavy)</t>
        </is>
      </c>
      <c r="D44" s="53" t="n">
        <v>50</v>
      </c>
      <c r="E44" s="25" t="inlineStr">
        <is>
          <t>GiB</t>
        </is>
      </c>
      <c r="F44" s="25" t="inlineStr">
        <is>
          <t>A2</t>
        </is>
      </c>
      <c r="G44" s="27" t="inlineStr">
        <is>
          <t>and 30-50 GiB for write-heavy workloads such as log analytics.</t>
        </is>
      </c>
    </row>
    <row r="45" ht="29" customHeight="1">
      <c r="A45" s="27" t="inlineStr">
        <is>
          <t>A_VCPU_100</t>
        </is>
      </c>
      <c r="B45" s="27" t="inlineStr">
        <is>
          <t>AWS guidance</t>
        </is>
      </c>
      <c r="C45" s="27" t="inlineStr">
        <is>
          <t>vCPU per 100 GiB of storage (demanding workloads)</t>
        </is>
      </c>
      <c r="D45" s="53" t="n">
        <v>2</v>
      </c>
      <c r="E45" s="25" t="inlineStr">
        <is>
          <t>vCPU</t>
        </is>
      </c>
      <c r="F45" s="25" t="inlineStr">
        <is>
          <t>A3</t>
        </is>
      </c>
      <c r="G45" s="27" t="inlineStr">
        <is>
          <t>try starting with a configuration closer to 2 vCPU cores and 8 GiB of memory for every 100 GiB of your storage requirement.</t>
        </is>
      </c>
    </row>
    <row r="46" ht="29" customHeight="1">
      <c r="A46" s="27" t="inlineStr">
        <is>
          <t>A_RAM_100</t>
        </is>
      </c>
      <c r="B46" s="27" t="inlineStr">
        <is>
          <t>AWS guidance</t>
        </is>
      </c>
      <c r="C46" s="27" t="inlineStr">
        <is>
          <t>Memory per 100 GiB of storage (demanding workloads)</t>
        </is>
      </c>
      <c r="D46" s="53" t="n">
        <v>8</v>
      </c>
      <c r="E46" s="25" t="inlineStr">
        <is>
          <t>GiB</t>
        </is>
      </c>
      <c r="F46" s="25" t="inlineStr">
        <is>
          <t>A3</t>
        </is>
      </c>
      <c r="G46" s="27" t="inlineStr">
        <is>
          <t>try starting with a configuration closer to 2 vCPU cores and 8 GiB of memory for every 100 GiB of your storage requirement.</t>
        </is>
      </c>
    </row>
    <row r="47" ht="29" customHeight="1">
      <c r="A47" s="27" t="inlineStr">
        <is>
          <t>W_BYTES_MB</t>
        </is>
      </c>
      <c r="B47" s="27" t="inlineStr">
        <is>
          <t>Workbook rule</t>
        </is>
      </c>
      <c r="C47" s="27" t="inlineStr">
        <is>
          <t>Bytes per MB when converting message rates to MBps</t>
        </is>
      </c>
      <c r="D47" s="52" t="n">
        <v>1000000</v>
      </c>
      <c r="E47" s="25" t="inlineStr">
        <is>
          <t>bytes</t>
        </is>
      </c>
      <c r="F47" s="25" t="inlineStr">
        <is>
          <t>W</t>
        </is>
      </c>
      <c r="G47" s="27" t="inlineStr">
        <is>
          <t>Decimal MB gives the larger MBps figure, so it is the cautious choice. Confluent does not state the base on the limits page.</t>
        </is>
      </c>
    </row>
    <row r="48" ht="15.5" customHeight="1">
      <c r="A48" s="27" t="inlineStr">
        <is>
          <t>W_BYTES_GIB</t>
        </is>
      </c>
      <c r="B48" s="27" t="inlineStr">
        <is>
          <t>Workbook rule</t>
        </is>
      </c>
      <c r="C48" s="27" t="inlineStr">
        <is>
          <t>Bytes per GiB (Confluent bills in binary GB)</t>
        </is>
      </c>
      <c r="D48" s="52" t="n">
        <v>1073741824</v>
      </c>
      <c r="E48" s="25" t="inlineStr">
        <is>
          <t>bytes</t>
        </is>
      </c>
      <c r="F48" s="25" t="inlineStr">
        <is>
          <t>C2</t>
        </is>
      </c>
      <c r="G48" s="27" t="inlineStr">
        <is>
          <t>binary gigabytes (GB), where 1 GB is 2^30 bytes. This unit of measurement is also known as a gibibyte (GiB).</t>
        </is>
      </c>
    </row>
    <row r="49" ht="15.5" customHeight="1">
      <c r="A49" s="27" t="inlineStr">
        <is>
          <t>W_HOURS</t>
        </is>
      </c>
      <c r="B49" s="27" t="inlineStr">
        <is>
          <t>Workbook rule</t>
        </is>
      </c>
      <c r="C49" s="27" t="inlineStr">
        <is>
          <t>Hours in an average month (8,760 / 12)</t>
        </is>
      </c>
      <c r="D49" s="53" t="n">
        <v>730</v>
      </c>
      <c r="E49" s="25" t="inlineStr">
        <is>
          <t>hours</t>
        </is>
      </c>
      <c r="F49" s="25" t="inlineStr">
        <is>
          <t>W</t>
        </is>
      </c>
      <c r="G49" s="27" t="inlineStr">
        <is>
          <t>Used only to turn hourly and daily figures into monthly quantities for the provider quote.</t>
        </is>
      </c>
    </row>
    <row r="51">
      <c r="A51" s="5" t="inlineStr">
        <is>
          <t>Confluent Cloud limits per eCKU or CKU, and cluster-level limits [C1][C3]</t>
        </is>
      </c>
    </row>
    <row r="52" ht="44" customHeight="1">
      <c r="A52" s="9" t="inlineStr">
        <is>
          <t>Cluster type</t>
        </is>
      </c>
      <c r="B52" s="9" t="inlineStr">
        <is>
          <t>Ingress MBps</t>
        </is>
      </c>
      <c r="C52" s="9" t="inlineStr">
        <is>
          <t>Egress MBps</t>
        </is>
      </c>
      <c r="D52" s="9" t="inlineStr">
        <is>
          <t>Partitions (pre-replication)</t>
        </is>
      </c>
      <c r="E52" s="9" t="inlineStr">
        <is>
          <t>Compacted partitions</t>
        </is>
      </c>
      <c r="F52" s="9" t="inlineStr">
        <is>
          <t>Client connections</t>
        </is>
      </c>
      <c r="G52" s="9" t="inlineStr">
        <is>
          <t>Requests per second</t>
        </is>
      </c>
      <c r="H52" s="9" t="inlineStr">
        <is>
          <t>Maximum units</t>
        </is>
      </c>
      <c r="I52" s="9" t="inlineStr">
        <is>
          <t>Topic max.message.bytes maximum</t>
        </is>
      </c>
      <c r="J52" s="9" t="inlineStr">
        <is>
          <t>Partition creates/deletes per 5 minutes</t>
        </is>
      </c>
      <c r="K52" s="57" t="inlineStr">
        <is>
          <t>Notes</t>
        </is>
      </c>
    </row>
    <row r="53" ht="15.5" customHeight="1">
      <c r="A53" s="26" t="inlineStr">
        <is>
          <t>Basic</t>
        </is>
      </c>
      <c r="B53" s="52" t="n">
        <v>5</v>
      </c>
      <c r="C53" s="52" t="n">
        <v>15</v>
      </c>
      <c r="D53" s="52" t="n">
        <v>30</v>
      </c>
      <c r="E53" s="52" t="n">
        <v>30</v>
      </c>
      <c r="F53" s="52" t="n">
        <v>20</v>
      </c>
      <c r="G53" s="52" t="n">
        <v>100</v>
      </c>
      <c r="H53" s="52" t="n">
        <v>50</v>
      </c>
      <c r="I53" s="52" t="n">
        <v>8388608</v>
      </c>
      <c r="J53" s="52" t="n">
        <v>250</v>
      </c>
      <c r="K53" s="27" t="inlineStr">
        <is>
          <t>SLA 99.5 %. Best for development, testing and basic use cases [C1].</t>
        </is>
      </c>
    </row>
    <row r="54" ht="29" customHeight="1">
      <c r="A54" s="26" t="inlineStr">
        <is>
          <t>Standard</t>
        </is>
      </c>
      <c r="B54" s="52" t="n">
        <v>25</v>
      </c>
      <c r="C54" s="52" t="n">
        <v>75</v>
      </c>
      <c r="D54" s="52" t="n">
        <v>250</v>
      </c>
      <c r="E54" s="52" t="n">
        <v>250</v>
      </c>
      <c r="F54" s="52" t="n">
        <v>1000</v>
      </c>
      <c r="G54" s="52" t="n">
        <v>1500</v>
      </c>
      <c r="H54" s="52" t="n">
        <v>10</v>
      </c>
      <c r="I54" s="52" t="n">
        <v>8388608</v>
      </c>
      <c r="J54" s="52" t="n">
        <v>500</v>
      </c>
      <c r="K54" s="27" t="inlineStr">
        <is>
          <t>SLA 99.9 % (1 eCKU) or 99.99 % (2 eCKU). Production workloads that use public networking [C1].</t>
        </is>
      </c>
    </row>
    <row r="55" ht="29" customHeight="1">
      <c r="A55" s="26" t="inlineStr">
        <is>
          <t>Enterprise</t>
        </is>
      </c>
      <c r="B55" s="52" t="n">
        <v>60</v>
      </c>
      <c r="C55" s="52" t="n">
        <v>180</v>
      </c>
      <c r="D55" s="52" t="n">
        <v>3000</v>
      </c>
      <c r="E55" s="52" t="n">
        <v>1000</v>
      </c>
      <c r="F55" s="52" t="n">
        <v>18000</v>
      </c>
      <c r="G55" s="52" t="n">
        <v>7500</v>
      </c>
      <c r="H55" s="52" t="n">
        <v>32</v>
      </c>
      <c r="I55" s="52" t="n">
        <v>20971520</v>
      </c>
      <c r="J55" s="52" t="n">
        <v>500</v>
      </c>
      <c r="K55" s="27" t="inlineStr">
        <is>
          <t>SLA 99.9 % (1 eCKU) or 99.99 % (2 eCKU). Production workloads that require private networking. Azure Private Link limit 32 eCKU [C1].</t>
        </is>
      </c>
    </row>
    <row r="56" ht="42.5" customHeight="1">
      <c r="A56" s="26" t="inlineStr">
        <is>
          <t>Dedicated</t>
        </is>
      </c>
      <c r="B56" s="52" t="n">
        <v>60</v>
      </c>
      <c r="C56" s="52" t="n">
        <v>180</v>
      </c>
      <c r="D56" s="52" t="n">
        <v>4500</v>
      </c>
      <c r="E56" s="52" t="n">
        <v>4500</v>
      </c>
      <c r="F56" s="52" t="n">
        <v>18000</v>
      </c>
      <c r="G56" s="52" t="n">
        <v>15000</v>
      </c>
      <c r="H56" s="52" t="n">
        <v>24</v>
      </c>
      <c r="I56" s="52" t="n">
        <v>20971520</v>
      </c>
      <c r="J56" s="52" t="n">
        <v>5000</v>
      </c>
      <c r="K56" s="27" t="inlineStr">
        <is>
          <t>SLA 99.95 % single-zone or 99.99 % multi-zone (minimum 2 CKU). Maximum units shown is the invoice purchase limit; up to 100 CKU on Azure by request [C1].</t>
        </is>
      </c>
    </row>
    <row r="58">
      <c r="A58" s="22" t="inlineStr">
        <is>
          <t>Freight clusters are not assessed: Confluent describes them for workloads that tolerate relaxed latency [C1], and Azure self-managed keys are not offered on Freight [C4].</t>
        </is>
      </c>
    </row>
    <row r="60">
      <c r="A60" s="5" t="inlineStr">
        <is>
          <t>Pega search sizing tables (Tables 2, 3 and 4) [P2]</t>
        </is>
      </c>
    </row>
    <row r="61" ht="32" customHeight="1">
      <c r="A61" s="9" t="inlineStr">
        <is>
          <t>Key (profile|role|group)</t>
        </is>
      </c>
      <c r="B61" s="9" t="inlineStr">
        <is>
          <t>Instances</t>
        </is>
      </c>
      <c r="C61" s="9" t="inlineStr">
        <is>
          <t>CPU per instance</t>
        </is>
      </c>
      <c r="D61" s="9" t="inlineStr">
        <is>
          <t>RAM GB per instance</t>
        </is>
      </c>
      <c r="E61" s="9" t="inlineStr">
        <is>
          <t>Storage GB per instance</t>
        </is>
      </c>
      <c r="F61" s="9" t="inlineStr">
        <is>
          <t>Pega table</t>
        </is>
      </c>
    </row>
    <row r="62">
      <c r="A62" s="27" t="inlineStr">
        <is>
          <t>Minimum|Master|Prod</t>
        </is>
      </c>
      <c r="B62" s="52" t="n">
        <v>3</v>
      </c>
      <c r="C62" s="52" t="n">
        <v>2</v>
      </c>
      <c r="D62" s="52" t="n">
        <v>4</v>
      </c>
      <c r="E62" s="52" t="n">
        <v>0</v>
      </c>
      <c r="F62" s="25" t="inlineStr">
        <is>
          <t>Table 2</t>
        </is>
      </c>
    </row>
    <row r="63">
      <c r="A63" s="27" t="inlineStr">
        <is>
          <t>Minimum|Data|Prod</t>
        </is>
      </c>
      <c r="B63" s="52" t="n">
        <v>3</v>
      </c>
      <c r="C63" s="52" t="n">
        <v>2</v>
      </c>
      <c r="D63" s="52" t="n">
        <v>8</v>
      </c>
      <c r="E63" s="52" t="n">
        <v>50</v>
      </c>
      <c r="F63" s="25" t="inlineStr">
        <is>
          <t>Table 2</t>
        </is>
      </c>
    </row>
    <row r="64">
      <c r="A64" s="27" t="inlineStr">
        <is>
          <t>Minimum|Master|Test</t>
        </is>
      </c>
      <c r="B64" s="52" t="n">
        <v>0</v>
      </c>
      <c r="C64" s="52" t="n">
        <v>0</v>
      </c>
      <c r="D64" s="52" t="n">
        <v>0</v>
      </c>
      <c r="E64" s="52" t="n">
        <v>0</v>
      </c>
      <c r="F64" s="25" t="inlineStr">
        <is>
          <t>Table 2</t>
        </is>
      </c>
    </row>
    <row r="65">
      <c r="A65" s="27" t="inlineStr">
        <is>
          <t>Minimum|Data|Test</t>
        </is>
      </c>
      <c r="B65" s="52" t="n">
        <v>1</v>
      </c>
      <c r="C65" s="52" t="n">
        <v>2</v>
      </c>
      <c r="D65" s="52" t="n">
        <v>8</v>
      </c>
      <c r="E65" s="52" t="n">
        <v>50</v>
      </c>
      <c r="F65" s="25" t="inlineStr">
        <is>
          <t>Table 2</t>
        </is>
      </c>
    </row>
    <row r="66">
      <c r="A66" s="27" t="inlineStr">
        <is>
          <t>Minimum|SRS|Prod</t>
        </is>
      </c>
      <c r="B66" s="52" t="n">
        <v>3</v>
      </c>
      <c r="C66" s="52" t="n">
        <v>2</v>
      </c>
      <c r="D66" s="52" t="n">
        <v>2</v>
      </c>
      <c r="E66" s="52" t="n">
        <v>0</v>
      </c>
      <c r="F66" s="25" t="inlineStr">
        <is>
          <t>Table 2</t>
        </is>
      </c>
    </row>
    <row r="67">
      <c r="A67" s="27" t="inlineStr">
        <is>
          <t>Minimum|SRS|Test</t>
        </is>
      </c>
      <c r="B67" s="52" t="n">
        <v>1</v>
      </c>
      <c r="C67" s="52" t="n">
        <v>2</v>
      </c>
      <c r="D67" s="52" t="n">
        <v>2</v>
      </c>
      <c r="E67" s="52" t="n">
        <v>0</v>
      </c>
      <c r="F67" s="25" t="inlineStr">
        <is>
          <t>Table 2</t>
        </is>
      </c>
    </row>
    <row r="68">
      <c r="A68" s="27" t="inlineStr">
        <is>
          <t>Default|Master|Prod</t>
        </is>
      </c>
      <c r="B68" s="52" t="n">
        <v>3</v>
      </c>
      <c r="C68" s="52" t="n">
        <v>2</v>
      </c>
      <c r="D68" s="52" t="n">
        <v>8</v>
      </c>
      <c r="E68" s="52" t="n">
        <v>0</v>
      </c>
      <c r="F68" s="25" t="inlineStr">
        <is>
          <t>Table 3</t>
        </is>
      </c>
    </row>
    <row r="69">
      <c r="A69" s="27" t="inlineStr">
        <is>
          <t>Default|Data|Prod</t>
        </is>
      </c>
      <c r="B69" s="52" t="n">
        <v>3</v>
      </c>
      <c r="C69" s="52" t="n">
        <v>4</v>
      </c>
      <c r="D69" s="52" t="n">
        <v>16</v>
      </c>
      <c r="E69" s="52" t="n">
        <v>100</v>
      </c>
      <c r="F69" s="25" t="inlineStr">
        <is>
          <t>Table 3</t>
        </is>
      </c>
    </row>
    <row r="70">
      <c r="A70" s="27" t="inlineStr">
        <is>
          <t>Default|Master|Test</t>
        </is>
      </c>
      <c r="B70" s="52" t="n">
        <v>0</v>
      </c>
      <c r="C70" s="52" t="n">
        <v>0</v>
      </c>
      <c r="D70" s="52" t="n">
        <v>0</v>
      </c>
      <c r="E70" s="52" t="n">
        <v>0</v>
      </c>
      <c r="F70" s="25" t="inlineStr">
        <is>
          <t>Table 3</t>
        </is>
      </c>
    </row>
    <row r="71">
      <c r="A71" s="27" t="inlineStr">
        <is>
          <t>Default|Data|Test</t>
        </is>
      </c>
      <c r="B71" s="52" t="n">
        <v>1</v>
      </c>
      <c r="C71" s="52" t="n">
        <v>2</v>
      </c>
      <c r="D71" s="52" t="n">
        <v>8</v>
      </c>
      <c r="E71" s="52" t="n">
        <v>100</v>
      </c>
      <c r="F71" s="25" t="inlineStr">
        <is>
          <t>Table 3</t>
        </is>
      </c>
    </row>
    <row r="72">
      <c r="A72" s="27" t="inlineStr">
        <is>
          <t>Default|SRS|Prod</t>
        </is>
      </c>
      <c r="B72" s="52" t="n">
        <v>3</v>
      </c>
      <c r="C72" s="52" t="n">
        <v>2</v>
      </c>
      <c r="D72" s="52" t="n">
        <v>2</v>
      </c>
      <c r="E72" s="52" t="n">
        <v>0</v>
      </c>
      <c r="F72" s="25" t="inlineStr">
        <is>
          <t>Table 3</t>
        </is>
      </c>
    </row>
    <row r="73">
      <c r="A73" s="27" t="inlineStr">
        <is>
          <t>Default|SRS|Test</t>
        </is>
      </c>
      <c r="B73" s="52" t="n">
        <v>1</v>
      </c>
      <c r="C73" s="52" t="n">
        <v>2</v>
      </c>
      <c r="D73" s="52" t="n">
        <v>2</v>
      </c>
      <c r="E73" s="52" t="n">
        <v>0</v>
      </c>
      <c r="F73" s="25" t="inlineStr">
        <is>
          <t>Table 3</t>
        </is>
      </c>
    </row>
    <row r="74">
      <c r="A74" s="27" t="inlineStr">
        <is>
          <t>Large|Master|Prod</t>
        </is>
      </c>
      <c r="B74" s="52" t="n">
        <v>3</v>
      </c>
      <c r="C74" s="52" t="n">
        <v>2</v>
      </c>
      <c r="D74" s="52" t="n">
        <v>8</v>
      </c>
      <c r="E74" s="52" t="n">
        <v>0</v>
      </c>
      <c r="F74" s="25" t="inlineStr">
        <is>
          <t>Table 4</t>
        </is>
      </c>
    </row>
    <row r="75">
      <c r="A75" s="27" t="inlineStr">
        <is>
          <t>Large|Data|Prod</t>
        </is>
      </c>
      <c r="B75" s="52" t="n">
        <v>9</v>
      </c>
      <c r="C75" s="52" t="n">
        <v>4</v>
      </c>
      <c r="D75" s="52" t="n">
        <v>16</v>
      </c>
      <c r="E75" s="52" t="n">
        <v>250</v>
      </c>
      <c r="F75" s="25" t="inlineStr">
        <is>
          <t>Table 4</t>
        </is>
      </c>
    </row>
    <row r="76">
      <c r="A76" s="27" t="inlineStr">
        <is>
          <t>Large|Master|Test</t>
        </is>
      </c>
      <c r="B76" s="52" t="n">
        <v>1</v>
      </c>
      <c r="C76" s="52" t="n">
        <v>2</v>
      </c>
      <c r="D76" s="52" t="n">
        <v>8</v>
      </c>
      <c r="E76" s="52" t="n">
        <v>0</v>
      </c>
      <c r="F76" s="25" t="inlineStr">
        <is>
          <t>Table 4</t>
        </is>
      </c>
    </row>
    <row r="77">
      <c r="A77" s="27" t="inlineStr">
        <is>
          <t>Large|Data|Test</t>
        </is>
      </c>
      <c r="B77" s="52" t="n">
        <v>4</v>
      </c>
      <c r="C77" s="52" t="n">
        <v>4</v>
      </c>
      <c r="D77" s="52" t="n">
        <v>16</v>
      </c>
      <c r="E77" s="52" t="n">
        <v>250</v>
      </c>
      <c r="F77" s="25" t="inlineStr">
        <is>
          <t>Table 4</t>
        </is>
      </c>
    </row>
    <row r="78">
      <c r="A78" s="27" t="inlineStr">
        <is>
          <t>Large|SRS|Prod</t>
        </is>
      </c>
      <c r="B78" s="52" t="n">
        <v>3</v>
      </c>
      <c r="C78" s="52" t="n">
        <v>2</v>
      </c>
      <c r="D78" s="52" t="n">
        <v>2</v>
      </c>
      <c r="E78" s="52" t="n">
        <v>0</v>
      </c>
      <c r="F78" s="25" t="inlineStr">
        <is>
          <t>Table 4</t>
        </is>
      </c>
    </row>
    <row r="79">
      <c r="A79" s="27" t="inlineStr">
        <is>
          <t>Large|SRS|Test</t>
        </is>
      </c>
      <c r="B79" s="52" t="n">
        <v>1</v>
      </c>
      <c r="C79" s="52" t="n">
        <v>2</v>
      </c>
      <c r="D79" s="52" t="n">
        <v>2</v>
      </c>
      <c r="E79" s="52" t="n">
        <v>0</v>
      </c>
      <c r="F79" s="25" t="inlineStr">
        <is>
          <t>Table 4</t>
        </is>
      </c>
    </row>
    <row r="80">
      <c r="A80" s="22" t="inlineStr">
        <is>
          <t>Group Prod = Pega's 'Production, Stage' rows; Test = 'Testing, Development' rows. SRS figures are for pods on AKS, not for the search provider. 0 means N/A in Pega's table.</t>
        </is>
      </c>
    </row>
    <row r="81">
      <c r="A81" s="22" t="inlineStr">
        <is>
          <t>Pega Table 4 lists 9 data nodes at 16 GB each with a total of 136 GB; 9 x 16 is 144 GB. It also lists 9 x 250 GB = 2,250 GB of data-node disk for 2 TB of searchable data, which is less than the AWS storage formula gives with one replica. The workbook uses the per-node figures and calculates storage separately; ask Pega to confirm Table 4 if you rely on it.</t>
        </is>
      </c>
    </row>
    <row r="83">
      <c r="A83" s="5" t="inlineStr">
        <is>
          <t>Maximum partitions per broker by machine type [P5]</t>
        </is>
      </c>
    </row>
    <row r="84" ht="32" customHeight="1">
      <c r="A84" s="9" t="inlineStr">
        <is>
          <t>CPU cores</t>
        </is>
      </c>
      <c r="B84" s="9" t="inlineStr">
        <is>
          <t>Memory GiB</t>
        </is>
      </c>
      <c r="C84" s="9" t="inlineStr">
        <is>
          <t>Maximum partitions per broker</t>
        </is>
      </c>
    </row>
    <row r="85">
      <c r="A85" s="52" t="n">
        <v>2</v>
      </c>
      <c r="B85" s="52" t="n">
        <v>2</v>
      </c>
      <c r="C85" s="52" t="n">
        <v>300</v>
      </c>
    </row>
    <row r="86">
      <c r="A86" s="52" t="n">
        <v>2</v>
      </c>
      <c r="B86" s="52" t="n">
        <v>8</v>
      </c>
      <c r="C86" s="52" t="n">
        <v>1000</v>
      </c>
    </row>
    <row r="87">
      <c r="A87" s="52" t="n">
        <v>4</v>
      </c>
      <c r="B87" s="52" t="n">
        <v>16</v>
      </c>
      <c r="C87" s="52" t="n">
        <v>1000</v>
      </c>
    </row>
    <row r="88">
      <c r="A88" s="52" t="n">
        <v>8</v>
      </c>
      <c r="B88" s="52" t="n">
        <v>32</v>
      </c>
      <c r="C88" s="52" t="n">
        <v>2000</v>
      </c>
    </row>
    <row r="89">
      <c r="A89" s="52" t="n">
        <v>16</v>
      </c>
      <c r="B89" s="52" t="n">
        <v>64</v>
      </c>
      <c r="C89" s="52" t="n">
        <v>4000</v>
      </c>
    </row>
    <row r="90">
      <c r="A90" s="22" t="inlineStr">
        <is>
          <t>Pega lists the last row as 16+ cores and 64+ GiB. The page is for the embedded stream service; it is used here only for the self-managed reference figures.</t>
        </is>
      </c>
    </row>
    <row r="92">
      <c r="A92" s="5" t="inlineStr">
        <is>
          <t>Lists</t>
        </is>
      </c>
    </row>
    <row r="93" ht="30" customHeight="1">
      <c r="A93" s="9" t="inlineStr">
        <is>
          <t>Pega landscapes</t>
        </is>
      </c>
      <c r="B93" s="9" t="inlineStr">
        <is>
          <t>Kafka cluster IDs</t>
        </is>
      </c>
      <c r="C93" s="9" t="inlineStr">
        <is>
          <t>Search service IDs</t>
        </is>
      </c>
      <c r="D93" s="9" t="inlineStr">
        <is>
          <t>Supported OpenSearch</t>
        </is>
      </c>
    </row>
    <row r="94">
      <c r="A94" s="53" t="inlineStr">
        <is>
          <t>Development</t>
        </is>
      </c>
      <c r="B94" s="53" t="inlineStr">
        <is>
          <t>K1</t>
        </is>
      </c>
      <c r="C94" s="53" t="inlineStr">
        <is>
          <t>S1</t>
        </is>
      </c>
      <c r="D94" s="53" t="inlineStr">
        <is>
          <t>OpenSearch 1.3</t>
        </is>
      </c>
    </row>
    <row r="95">
      <c r="A95" s="53" t="inlineStr">
        <is>
          <t>Testing</t>
        </is>
      </c>
      <c r="B95" s="53" t="inlineStr">
        <is>
          <t>K2</t>
        </is>
      </c>
      <c r="C95" s="53" t="inlineStr">
        <is>
          <t>S2</t>
        </is>
      </c>
      <c r="D95" s="53" t="inlineStr">
        <is>
          <t>OpenSearch 2.15</t>
        </is>
      </c>
    </row>
    <row r="96">
      <c r="A96" s="53" t="inlineStr">
        <is>
          <t>Stage</t>
        </is>
      </c>
      <c r="B96" s="53" t="inlineStr">
        <is>
          <t>K3</t>
        </is>
      </c>
      <c r="C96" s="53" t="inlineStr">
        <is>
          <t>S3</t>
        </is>
      </c>
      <c r="D96" s="53" t="inlineStr">
        <is>
          <t>OpenSearch 2.19</t>
        </is>
      </c>
    </row>
    <row r="97">
      <c r="A97" s="53" t="inlineStr">
        <is>
          <t>Production</t>
        </is>
      </c>
      <c r="B97" s="53" t="inlineStr">
        <is>
          <t>K4</t>
        </is>
      </c>
      <c r="C97" s="53" t="inlineStr">
        <is>
          <t>S4</t>
        </is>
      </c>
      <c r="D97" s="53" t="inlineStr">
        <is>
          <t>Other</t>
        </is>
      </c>
    </row>
    <row r="98">
      <c r="B98" s="53" t="inlineStr">
        <is>
          <t>K5</t>
        </is>
      </c>
      <c r="C98" s="53" t="inlineStr">
        <is>
          <t>S5</t>
        </is>
      </c>
    </row>
    <row r="99">
      <c r="B99" s="53" t="inlineStr">
        <is>
          <t>K6</t>
        </is>
      </c>
      <c r="C99" s="53" t="inlineStr">
        <is>
          <t>S6</t>
        </is>
      </c>
    </row>
  </sheetData>
  <sheetProtection selectLockedCells="0" selectUnlockedCells="0" sheet="1" objects="0" insertRows="1" insertHyperlinks="1" autoFilter="0" scenarios="0" formatColumns="0" deleteColumns="1" insertColumns="1" pivotTables="1" deleteRows="1" formatCells="0" formatRows="0" sort="0"/>
  <printOptions horizontalCentered="1"/>
  <pageMargins left="0.75" right="0.75" top="1" bottom="1" header="0.5" footer="0.5"/>
  <pageSetup orientation="landscape" fitToHeight="0" fitToWidth="1"/>
  <headerFooter>
    <oddHeader/>
    <oddFooter>&amp;LPega '26 Kafka and OpenSearch sizing workbook v1.0&amp;C&amp;A  -  page &amp;P of &amp;N</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tabColor rgb="007F7F7F"/>
    <outlinePr summaryBelow="1" summaryRight="1"/>
    <pageSetUpPr fitToPage="1"/>
  </sheetPr>
  <dimension ref="A1:E28"/>
  <sheetViews>
    <sheetView showGridLines="0" workbookViewId="0">
      <selection activeCell="A1" sqref="A1"/>
    </sheetView>
  </sheetViews>
  <sheetFormatPr baseColWidth="8" defaultRowHeight="15"/>
  <cols>
    <col width="7" customWidth="1" min="1" max="1"/>
    <col width="20" customWidth="1" min="2" max="2"/>
    <col width="52" customWidth="1" min="3" max="3"/>
    <col width="70" customWidth="1" min="4" max="4"/>
    <col width="70" customWidth="1" min="5" max="5"/>
  </cols>
  <sheetData>
    <row r="1">
      <c r="A1" s="21" t="inlineStr">
        <is>
          <t>References</t>
        </is>
      </c>
    </row>
    <row r="2">
      <c r="A2" s="22" t="inlineStr">
        <is>
          <t>Sources for every figure and rule in the workbook. Links checked 6 Oct 2026.</t>
        </is>
      </c>
    </row>
    <row r="4" ht="30" customHeight="1">
      <c r="A4" s="9" t="inlineStr">
        <is>
          <t>ID</t>
        </is>
      </c>
      <c r="B4" s="9" t="inlineStr">
        <is>
          <t>Publisher</t>
        </is>
      </c>
      <c r="C4" s="9" t="inlineStr">
        <is>
          <t>Title</t>
        </is>
      </c>
      <c r="D4" s="9" t="inlineStr">
        <is>
          <t>Link</t>
        </is>
      </c>
      <c r="E4" s="9" t="inlineStr">
        <is>
          <t>Used for</t>
        </is>
      </c>
    </row>
    <row r="5" ht="29" customHeight="1">
      <c r="A5" s="48" t="inlineStr">
        <is>
          <t>P1</t>
        </is>
      </c>
      <c r="B5" s="27" t="inlineStr">
        <is>
          <t>Pegasystems</t>
        </is>
      </c>
      <c r="C5" s="27" t="inlineStr">
        <is>
          <t>External Kafka in your deployment (Pega Platform '26)</t>
        </is>
      </c>
      <c r="D5" s="58" t="inlineStr">
        <is>
          <t>https://docs.pega.com/bundle/platform/page/platform/deployment/externalization-of-services/externalize-kafka-in-your-deployment.html</t>
        </is>
      </c>
      <c r="E5" s="27" t="inlineStr">
        <is>
          <t>Kafka sizing (Table 1), 1,000-partition statement, required Kafka settings (Table 2), ACLs, authentication</t>
        </is>
      </c>
    </row>
    <row r="6" ht="29" customHeight="1">
      <c r="A6" s="48" t="inlineStr">
        <is>
          <t>P2</t>
        </is>
      </c>
      <c r="B6" s="27" t="inlineStr">
        <is>
          <t>Pegasystems</t>
        </is>
      </c>
      <c r="C6" s="27" t="inlineStr">
        <is>
          <t>External Search in your deployment (Pega Platform '26)</t>
        </is>
      </c>
      <c r="D6" s="58" t="inlineStr">
        <is>
          <t>https://docs.pega.com/bundle/platform/page/platform/deployment/externalization-of-services/externalize-search-in-your-deployment.html</t>
        </is>
      </c>
      <c r="E6" s="27" t="inlineStr">
        <is>
          <t>Search sizing (Tables 2, 3 and 4), three-node HA rule, supported OpenSearch versions, SRS settings, sharing rule</t>
        </is>
      </c>
    </row>
    <row r="7" ht="29" customHeight="1">
      <c r="A7" s="48" t="inlineStr">
        <is>
          <t>P3</t>
        </is>
      </c>
      <c r="B7" s="27" t="inlineStr">
        <is>
          <t>Pegasystems</t>
        </is>
      </c>
      <c r="C7" s="27" t="inlineStr">
        <is>
          <t>Creating a Queue Processor rule (Pega Platform '26)</t>
        </is>
      </c>
      <c r="D7" s="58" t="inlineStr">
        <is>
          <t>https://docs.pega.com/bundle/platform/page/platform/background-processing/queue-processor-create-rule.html</t>
        </is>
      </c>
      <c r="E7" s="27" t="inlineStr">
        <is>
          <t>Six partitions per queue processor topic; threads beyond the partition count do no work</t>
        </is>
      </c>
    </row>
    <row r="8" ht="29" customHeight="1">
      <c r="A8" s="48" t="inlineStr">
        <is>
          <t>P4</t>
        </is>
      </c>
      <c r="B8" s="27" t="inlineStr">
        <is>
          <t>Pegasystems</t>
        </is>
      </c>
      <c r="C8" s="27" t="inlineStr">
        <is>
          <t>Changing the default number of partitions per topic (Pega Platform '24.1)</t>
        </is>
      </c>
      <c r="D8" s="58" t="inlineStr">
        <is>
          <t>https://docs.pega.com/bundle/platform-241/page/platform/deployment/embedded-kafka-cassandra/change-default-partitions-count-stream-nodes.html</t>
        </is>
      </c>
      <c r="E8" s="27" t="inlineStr">
        <is>
          <t>Default six partitions per topic from 8.7; DSS prconfig/dsm/services/stream/pyTopicPartitionsCount/default</t>
        </is>
      </c>
    </row>
    <row r="9" ht="29" customHeight="1">
      <c r="A9" s="48" t="inlineStr">
        <is>
          <t>P5</t>
        </is>
      </c>
      <c r="B9" s="27" t="inlineStr">
        <is>
          <t>Pegasystems</t>
        </is>
      </c>
      <c r="C9" s="27" t="inlineStr">
        <is>
          <t>Monitoring an embedded stream service (Pega Platform 8.8)</t>
        </is>
      </c>
      <c r="D9" s="58" t="inlineStr">
        <is>
          <t>https://docs.pega.com/bundle/platform-88/page/platform/deployment/embedded-kafka-cassandra/monitor-stream-service.html</t>
        </is>
      </c>
      <c r="E9" s="27" t="inlineStr">
        <is>
          <t>Maximum partitions per broker by machine type; 30 % free disk and 70 % CPU action points</t>
        </is>
      </c>
    </row>
    <row r="10" ht="29" customHeight="1">
      <c r="A10" s="48" t="inlineStr">
        <is>
          <t>P6</t>
        </is>
      </c>
      <c r="B10" s="27" t="inlineStr">
        <is>
          <t>Pegasystems</t>
        </is>
      </c>
      <c r="C10" s="27" t="inlineStr">
        <is>
          <t>Completing prerequisites to update to Pega Platform '26</t>
        </is>
      </c>
      <c r="D10" s="58" t="inlineStr">
        <is>
          <t>https://docs.pega.com/bundle/platform/page/platform/deployment/client-managed-cloud/prereq-pega-platform-26.html</t>
        </is>
      </c>
      <c r="E10" s="27" t="inlineStr">
        <is>
          <t>Kafka client library 4.0.0; system pulse topic with 6 partitions</t>
        </is>
      </c>
    </row>
    <row r="11" ht="29" customHeight="1">
      <c r="A11" s="48" t="inlineStr">
        <is>
          <t>P7</t>
        </is>
      </c>
      <c r="B11" s="27" t="inlineStr">
        <is>
          <t>Pegasystems</t>
        </is>
      </c>
      <c r="C11" s="27" t="inlineStr">
        <is>
          <t>Pega Helm chart README, charts/pega (stream section)</t>
        </is>
      </c>
      <c r="D11" s="58" t="inlineStr">
        <is>
          <t>https://github.com/pegasystems/pega-helm-charts/blob/master/charts/pega/README.md</t>
        </is>
      </c>
      <c r="E11" s="27" t="inlineStr">
        <is>
          <t>stream.streamNamePattern and replicationFactor (cannot be more than the number of brokers and 3)</t>
        </is>
      </c>
    </row>
    <row r="12" ht="29" customHeight="1">
      <c r="A12" s="48" t="inlineStr">
        <is>
          <t>P8</t>
        </is>
      </c>
      <c r="B12" s="27" t="inlineStr">
        <is>
          <t>Pegasystems</t>
        </is>
      </c>
      <c r="C12" s="27" t="inlineStr">
        <is>
          <t>Removing Hazelcast FAQ (Pega Platform '25)</t>
        </is>
      </c>
      <c r="D12" s="58" t="inlineStr">
        <is>
          <t>https://docs.pega.com/bundle/platform-25/page/platform/deployment/externalization-of-services/removing-hazelcast-faq.html</t>
        </is>
      </c>
      <c r="E12" s="27" t="inlineStr">
        <is>
          <t>Messaging use cases use the streaming functionality and the external Kafka service instead of Hazelcast</t>
        </is>
      </c>
    </row>
    <row r="13" ht="29" customHeight="1">
      <c r="A13" s="48" t="inlineStr">
        <is>
          <t>C1</t>
        </is>
      </c>
      <c r="B13" s="27" t="inlineStr">
        <is>
          <t>Confluent</t>
        </is>
      </c>
      <c r="C13" s="27" t="inlineStr">
        <is>
          <t>Kafka cluster types in Confluent Cloud</t>
        </is>
      </c>
      <c r="D13" s="58" t="inlineStr">
        <is>
          <t>https://docs.confluent.io/cloud/current/clusters/cluster-types.html</t>
        </is>
      </c>
      <c r="E13" s="27" t="inlineStr">
        <is>
          <t>Per-eCKU/CKU limits, maximum units, SLA by type, fast scaling, purchase limits, use cases</t>
        </is>
      </c>
    </row>
    <row r="14" ht="29" customHeight="1">
      <c r="A14" s="48" t="inlineStr">
        <is>
          <t>C2</t>
        </is>
      </c>
      <c r="B14" s="27" t="inlineStr">
        <is>
          <t>Confluent</t>
        </is>
      </c>
      <c r="C14" s="27" t="inlineStr">
        <is>
          <t>Billing dimensions in Confluent Cloud</t>
        </is>
      </c>
      <c r="D14" s="58" t="inlineStr">
        <is>
          <t>https://docs.confluent.io/cloud/current/billing/billing-dimensions.html</t>
        </is>
      </c>
      <c r="E14" s="27" t="inlineStr">
        <is>
          <t>Billing on eCKU/CKU-hours, ingress GB, egress GB and storage GB-hours; storage post-replication about 3x</t>
        </is>
      </c>
    </row>
    <row r="15" ht="29" customHeight="1">
      <c r="A15" s="48" t="inlineStr">
        <is>
          <t>C3</t>
        </is>
      </c>
      <c r="B15" s="27" t="inlineStr">
        <is>
          <t>Confluent</t>
        </is>
      </c>
      <c r="C15" s="27" t="inlineStr">
        <is>
          <t>Configuration reference for topics in Confluent Cloud</t>
        </is>
      </c>
      <c r="D15" s="58" t="inlineStr">
        <is>
          <t>https://docs.confluent.io/cloud/current/client-apps/topics/manage.html</t>
        </is>
      </c>
      <c r="E15" s="27" t="inlineStr">
        <is>
          <t>max.message.bytes default and maximum by type; retention.ms default; replication factor 3</t>
        </is>
      </c>
    </row>
    <row r="16" ht="29" customHeight="1">
      <c r="A16" s="48" t="inlineStr">
        <is>
          <t>C4</t>
        </is>
      </c>
      <c r="B16" s="27" t="inlineStr">
        <is>
          <t>Confluent</t>
        </is>
      </c>
      <c r="C16" s="27" t="inlineStr">
        <is>
          <t>Protect data at rest using self-managed encryption keys (overview)</t>
        </is>
      </c>
      <c r="D16" s="58" t="inlineStr">
        <is>
          <t>https://docs.confluent.io/cloud/current/security/encrypt/byok/overview.html</t>
        </is>
      </c>
      <c r="E16" s="27" t="inlineStr">
        <is>
          <t>Self-managed keys on Azure for Dedicated and Enterprise only; fixed at cluster creation</t>
        </is>
      </c>
    </row>
    <row r="17" ht="29" customHeight="1">
      <c r="A17" s="48" t="inlineStr">
        <is>
          <t>O1</t>
        </is>
      </c>
      <c r="B17" s="27" t="inlineStr">
        <is>
          <t>OpenSearch Project</t>
        </is>
      </c>
      <c r="C17" s="27" t="inlineStr">
        <is>
          <t>Creating a cluster</t>
        </is>
      </c>
      <c r="D17" s="58" t="inlineStr">
        <is>
          <t>https://docs.opensearch.org/latest/tuning-your-cluster/</t>
        </is>
      </c>
      <c r="E17" s="27" t="inlineStr">
        <is>
          <t>Three dedicated cluster manager nodes in three zones; data nodes in multiples of three</t>
        </is>
      </c>
    </row>
    <row r="18" ht="29" customHeight="1">
      <c r="A18" s="48" t="inlineStr">
        <is>
          <t>O2</t>
        </is>
      </c>
      <c r="B18" s="27" t="inlineStr">
        <is>
          <t>OpenSearch Project</t>
        </is>
      </c>
      <c r="C18" s="27" t="inlineStr">
        <is>
          <t>Index settings</t>
        </is>
      </c>
      <c r="D18" s="58" t="inlineStr">
        <is>
          <t>https://docs.opensearch.org/latest/install-and-configure/configuring-opensearch/index-settings/</t>
        </is>
      </c>
      <c r="E18" s="27" t="inlineStr">
        <is>
          <t>index.number_of_shards default 1; index.number_of_replicas default 1</t>
        </is>
      </c>
    </row>
    <row r="19" ht="29" customHeight="1">
      <c r="A19" s="48" t="inlineStr">
        <is>
          <t>O3</t>
        </is>
      </c>
      <c r="B19" s="27" t="inlineStr">
        <is>
          <t>OpenSearch Project</t>
        </is>
      </c>
      <c r="C19" s="27" t="inlineStr">
        <is>
          <t>Cluster settings</t>
        </is>
      </c>
      <c r="D19" s="58" t="inlineStr">
        <is>
          <t>https://docs.opensearch.org/latest/install-and-configure/configuring-opensearch/cluster-settings/</t>
        </is>
      </c>
      <c r="E19" s="27" t="inlineStr">
        <is>
          <t>cluster.max_shards_per_node 1,000; disk watermarks 85 %, 90 %, 95 %</t>
        </is>
      </c>
    </row>
    <row r="20" ht="29" customHeight="1">
      <c r="A20" s="48" t="inlineStr">
        <is>
          <t>O4</t>
        </is>
      </c>
      <c r="B20" s="27" t="inlineStr">
        <is>
          <t>OpenSearch Project</t>
        </is>
      </c>
      <c r="C20" s="27" t="inlineStr">
        <is>
          <t>Installing OpenSearch</t>
        </is>
      </c>
      <c r="D20" s="58" t="inlineStr">
        <is>
          <t>https://docs.opensearch.org/latest/install-and-configure/install-opensearch/index/</t>
        </is>
      </c>
      <c r="E20" s="27" t="inlineStr">
        <is>
          <t>Java heap: half of system RAM</t>
        </is>
      </c>
    </row>
    <row r="21" ht="15.5" customHeight="1">
      <c r="A21" s="48" t="inlineStr">
        <is>
          <t>O5</t>
        </is>
      </c>
      <c r="B21" s="27" t="inlineStr">
        <is>
          <t>OpenSearch Project</t>
        </is>
      </c>
      <c r="C21" s="27" t="inlineStr">
        <is>
          <t>Intro to OpenSearch</t>
        </is>
      </c>
      <c r="D21" s="58" t="inlineStr">
        <is>
          <t>https://docs.opensearch.org/latest/getting-started/intro/</t>
        </is>
      </c>
      <c r="E21" s="27" t="inlineStr">
        <is>
          <t>Replica shards are placed on different nodes from their primary shards</t>
        </is>
      </c>
    </row>
    <row r="22" ht="29" customHeight="1">
      <c r="A22" s="48" t="inlineStr">
        <is>
          <t>O6</t>
        </is>
      </c>
      <c r="B22" s="27" t="inlineStr">
        <is>
          <t>OpenSearch Project</t>
        </is>
      </c>
      <c r="C22" s="27" t="inlineStr">
        <is>
          <t>Cluster health API</t>
        </is>
      </c>
      <c r="D22" s="58" t="inlineStr">
        <is>
          <t>https://docs.opensearch.org/latest/api-reference/cluster-api/cluster-health/</t>
        </is>
      </c>
      <c r="E22" s="27" t="inlineStr">
        <is>
          <t>A single-node cluster with replica shards shows yellow status because replicas cannot be allocated</t>
        </is>
      </c>
    </row>
    <row r="23" ht="29" customHeight="1">
      <c r="A23" s="48" t="inlineStr">
        <is>
          <t>A1</t>
        </is>
      </c>
      <c r="B23" s="27" t="inlineStr">
        <is>
          <t>Amazon Web Services</t>
        </is>
      </c>
      <c r="C23" s="27" t="inlineStr">
        <is>
          <t>Amazon OpenSearch Service: Calculating storage requirements</t>
        </is>
      </c>
      <c r="D23" s="58" t="inlineStr">
        <is>
          <t>https://docs.aws.amazon.com/opensearch-service/latest/developerguide/bp-storage.html</t>
        </is>
      </c>
      <c r="E23" s="27" t="inlineStr">
        <is>
          <t>Storage formula with replicas, 10 % indexing overhead, 5 % Linux reserve and 20 % service overhead</t>
        </is>
      </c>
    </row>
    <row r="24" ht="29" customHeight="1">
      <c r="A24" s="48" t="inlineStr">
        <is>
          <t>A2</t>
        </is>
      </c>
      <c r="B24" s="27" t="inlineStr">
        <is>
          <t>Amazon Web Services</t>
        </is>
      </c>
      <c r="C24" s="27" t="inlineStr">
        <is>
          <t>Amazon OpenSearch Service: Choosing the number of shards</t>
        </is>
      </c>
      <c r="D24" s="58" t="inlineStr">
        <is>
          <t>https://docs.aws.amazon.com/opensearch-service/latest/developerguide/bp-sharding.html</t>
        </is>
      </c>
      <c r="E24" s="27" t="inlineStr">
        <is>
          <t>Shard size 10-30 GiB (search) and 30-50 GiB (write-heavy); at most 25 shards per GiB of heap</t>
        </is>
      </c>
    </row>
    <row r="25" ht="29" customHeight="1">
      <c r="A25" s="48" t="inlineStr">
        <is>
          <t>A3</t>
        </is>
      </c>
      <c r="B25" s="27" t="inlineStr">
        <is>
          <t>Amazon Web Services</t>
        </is>
      </c>
      <c r="C25" s="27" t="inlineStr">
        <is>
          <t>Amazon OpenSearch Service: Choosing instance types and testing</t>
        </is>
      </c>
      <c r="D25" s="58" t="inlineStr">
        <is>
          <t>https://docs.aws.amazon.com/opensearch-service/latest/developerguide/bp-instances.html</t>
        </is>
      </c>
      <c r="E25" s="27" t="inlineStr">
        <is>
          <t>Minimum three nodes; 2 vCPU and 8 GiB memory per 100 GiB of storage as a starting point for demanding workloads</t>
        </is>
      </c>
    </row>
    <row r="26" ht="42.5" customHeight="1">
      <c r="A26" s="48" t="inlineStr">
        <is>
          <t>W</t>
        </is>
      </c>
      <c r="B26" s="27" t="inlineStr">
        <is>
          <t>This workbook</t>
        </is>
      </c>
      <c r="C26" s="27" t="inlineStr">
        <is>
          <t>Workbook rule or customer decision</t>
        </is>
      </c>
      <c r="D26" s="27" t="inlineStr">
        <is>
          <t>-</t>
        </is>
      </c>
      <c r="E26" s="27" t="inlineStr">
        <is>
          <t>A rule the workbook applies that no vendor publishes, such as the order in which cluster types are tried or the units used for conversions. Each one is labelled W where it is used.</t>
        </is>
      </c>
    </row>
    <row r="28">
      <c r="A28" s="22" t="inlineStr">
        <is>
          <t>AWS guidance (A1 to A3) is for Amazon OpenSearch Service. It is used because Pega does not publish a storage or shard formula; ask your managed OpenSearch provider for its own overhead figures and replace them on the Search Services sheet.</t>
        </is>
      </c>
    </row>
  </sheetData>
  <sheetProtection selectLockedCells="0" selectUnlockedCells="0" sheet="1" objects="0" insertRows="1" insertHyperlinks="1" autoFilter="0" scenarios="0" formatColumns="0" deleteColumns="1" insertColumns="1" pivotTables="1" deleteRows="1" formatCells="0" formatRows="0" sort="0"/>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s>
  <printOptions horizontalCentered="1"/>
  <pageMargins left="0.75" right="0.75" top="1" bottom="1" header="0.5" footer="0.5"/>
  <pageSetup orientation="landscape" fitToHeight="0" fitToWidth="1"/>
  <headerFooter>
    <oddHeader/>
    <oddFooter>&amp;LPega '26 Kafka and OpenSearch sizing workbook v1.0&amp;C&amp;A  -  page &amp;P of &amp;N</oddFooter>
    <evenHeader/>
    <evenFooter/>
    <firstHeader/>
    <firstFooter/>
  </headerFooter>
</worksheet>
</file>

<file path=xl/worksheets/sheet15.xml><?xml version="1.0" encoding="utf-8"?>
<worksheet xmlns="http://schemas.openxmlformats.org/spreadsheetml/2006/main">
  <sheetPr>
    <tabColor rgb="007F7F7F"/>
    <outlinePr summaryBelow="1" summaryRight="1"/>
    <pageSetUpPr fitToPage="1"/>
  </sheetPr>
  <dimension ref="A1:D19"/>
  <sheetViews>
    <sheetView showGridLines="0" workbookViewId="0">
      <selection activeCell="A1" sqref="A1"/>
    </sheetView>
  </sheetViews>
  <sheetFormatPr baseColWidth="8" defaultRowHeight="15"/>
  <cols>
    <col width="10" customWidth="1" min="1" max="1"/>
    <col width="16" customWidth="1" min="2" max="2"/>
    <col width="70" customWidth="1" min="3" max="3"/>
    <col width="24" customWidth="1" min="4" max="4"/>
  </cols>
  <sheetData>
    <row r="1">
      <c r="A1" s="21" t="inlineStr">
        <is>
          <t>Change log</t>
        </is>
      </c>
    </row>
    <row r="2">
      <c r="A2" s="22" t="inlineStr">
        <is>
          <t>Record every change to inputs, reference data or formulas.</t>
        </is>
      </c>
    </row>
    <row r="4" ht="30" customHeight="1">
      <c r="A4" s="9" t="inlineStr">
        <is>
          <t>Version</t>
        </is>
      </c>
      <c r="B4" s="9" t="inlineStr">
        <is>
          <t>Date</t>
        </is>
      </c>
      <c r="C4" s="9" t="inlineStr">
        <is>
          <t>Change</t>
        </is>
      </c>
      <c r="D4" s="9" t="inlineStr">
        <is>
          <t>By</t>
        </is>
      </c>
    </row>
    <row r="5" ht="29" customHeight="1">
      <c r="A5" s="27" t="inlineStr">
        <is>
          <t>1.0</t>
        </is>
      </c>
      <c r="B5" s="27" t="inlineStr">
        <is>
          <t>6 October 2026</t>
        </is>
      </c>
      <c r="C5" s="27" t="inlineStr">
        <is>
          <t>First issue. Kafka and OpenSearch sizing for Pega Platform '26 on Azure AKS, using Pega, Confluent, OpenSearch and AWS sources checked on 6 Oct 2026.</t>
        </is>
      </c>
      <c r="D5" s="27" t="inlineStr">
        <is>
          <t>Implementation team</t>
        </is>
      </c>
    </row>
    <row r="6">
      <c r="A6" s="13" t="n"/>
      <c r="B6" s="13" t="n"/>
      <c r="C6" s="13" t="n"/>
      <c r="D6" s="13" t="n"/>
    </row>
    <row r="7">
      <c r="A7" s="13" t="n"/>
      <c r="B7" s="13" t="n"/>
      <c r="C7" s="13" t="n"/>
      <c r="D7" s="13" t="n"/>
    </row>
    <row r="8">
      <c r="A8" s="13" t="n"/>
      <c r="B8" s="13" t="n"/>
      <c r="C8" s="13" t="n"/>
      <c r="D8" s="13" t="n"/>
    </row>
    <row r="9">
      <c r="A9" s="13" t="n"/>
      <c r="B9" s="13" t="n"/>
      <c r="C9" s="13" t="n"/>
      <c r="D9" s="13" t="n"/>
    </row>
    <row r="10">
      <c r="A10" s="13" t="n"/>
      <c r="B10" s="13" t="n"/>
      <c r="C10" s="13" t="n"/>
      <c r="D10" s="13" t="n"/>
    </row>
    <row r="11">
      <c r="A11" s="13" t="n"/>
      <c r="B11" s="13" t="n"/>
      <c r="C11" s="13" t="n"/>
      <c r="D11" s="13" t="n"/>
    </row>
    <row r="12">
      <c r="A12" s="13" t="n"/>
      <c r="B12" s="13" t="n"/>
      <c r="C12" s="13" t="n"/>
      <c r="D12" s="13" t="n"/>
    </row>
    <row r="13">
      <c r="A13" s="13" t="n"/>
      <c r="B13" s="13" t="n"/>
      <c r="C13" s="13" t="n"/>
      <c r="D13" s="13" t="n"/>
    </row>
    <row r="14">
      <c r="A14" s="13" t="n"/>
      <c r="B14" s="13" t="n"/>
      <c r="C14" s="13" t="n"/>
      <c r="D14" s="13" t="n"/>
    </row>
    <row r="15">
      <c r="A15" s="13" t="n"/>
      <c r="B15" s="13" t="n"/>
      <c r="C15" s="13" t="n"/>
      <c r="D15" s="13" t="n"/>
    </row>
    <row r="16">
      <c r="A16" s="13" t="n"/>
      <c r="B16" s="13" t="n"/>
      <c r="C16" s="13" t="n"/>
      <c r="D16" s="13" t="n"/>
    </row>
    <row r="17">
      <c r="A17" s="13" t="n"/>
      <c r="B17" s="13" t="n"/>
      <c r="C17" s="13" t="n"/>
      <c r="D17" s="13" t="n"/>
    </row>
    <row r="18">
      <c r="A18" s="13" t="n"/>
      <c r="B18" s="13" t="n"/>
      <c r="C18" s="13" t="n"/>
      <c r="D18" s="13" t="n"/>
    </row>
    <row r="19">
      <c r="A19" s="13" t="n"/>
      <c r="B19" s="13" t="n"/>
      <c r="C19" s="13" t="n"/>
      <c r="D19" s="13" t="n"/>
    </row>
  </sheetData>
  <printOptions horizontalCentered="1"/>
  <pageMargins left="0.75" right="0.75" top="1" bottom="1" header="0.5" footer="0.5"/>
  <pageSetup orientation="landscape" fitToHeight="0" fitToWidth="1"/>
  <headerFooter>
    <oddHeader/>
    <oddFooter>&amp;LPega '26 Kafka and OpenSearch sizing workbook v1.0&amp;C&amp;A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2026-10-06T10:08:56Z</dcterms:created>
  <dcterms:modified xsi:type="dcterms:W3CDTF">2026-10-06T10:08:56Z</dcterms:modified>
</cp:coreProperties>
</file>