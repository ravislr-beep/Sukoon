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afka" sheetId="2" state="visible" r:id="rId2"/>
    <sheet xmlns:r="http://schemas.openxmlformats.org/officeDocument/2006/relationships" name="OpenSearch" sheetId="3" state="visible" r:id="rId3"/>
    <sheet xmlns:r="http://schemas.openxmlformats.org/officeDocument/2006/relationships" name="AKS" sheetId="4" state="visible" r:id="rId4"/>
    <sheet xmlns:r="http://schemas.openxmlformats.org/officeDocument/2006/relationships" name="Ok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</font>
    <font>
      <b val="1"/>
    </font>
    <font/>
    <font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0" fillId="4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Pega 26.1.1 on Azure AKS: sizing calculator for Kafka, OpenSearch, AKS and Okta</t>
        </is>
      </c>
    </row>
    <row r="2">
      <c r="A2" s="2" t="inlineStr">
        <is>
          <t>Companion to the runbook, Section 15 and Appendix H.</t>
        </is>
      </c>
    </row>
    <row r="3">
      <c r="A3" s="2" t="inlineStr"/>
    </row>
    <row r="4">
      <c r="A4" s="3" t="inlineStr">
        <is>
          <t>Yellow cells are inputs. Green cells are formulas. Change only the yellow cells.</t>
        </is>
      </c>
    </row>
    <row r="5">
      <c r="A5" s="3" t="inlineStr">
        <is>
          <t>The example inputs are illustrative. They are not measurements of the customer's system. Replace each one with a measured value.</t>
        </is>
      </c>
    </row>
    <row r="6">
      <c r="A6" s="2" t="inlineStr"/>
    </row>
    <row r="7">
      <c r="A7" s="3" t="inlineStr">
        <is>
          <t>Sources for the constants:</t>
        </is>
      </c>
    </row>
    <row r="8">
      <c r="A8" s="2" t="inlineStr">
        <is>
          <t>Confluent Cloud per-unit limits and the 2-unit SLA minimum: Confluent, 'Kafka cluster types in Confluent Cloud' (runbook reference R31).</t>
        </is>
      </c>
    </row>
    <row r="9">
      <c r="A9" s="2" t="inlineStr">
        <is>
          <t>Pega partitions per topic default of 6: Pega, 'Changing the default number of partitions per topic' (R49).</t>
        </is>
      </c>
    </row>
    <row r="10">
      <c r="A10" s="2" t="inlineStr">
        <is>
          <t>OpenSearch storage factor 1.45 and 25 shards per GiB of heap: Amazon OpenSearch Service sizing and shard guidance (R54, R55).</t>
        </is>
      </c>
    </row>
    <row r="11">
      <c r="A11" s="2" t="inlineStr">
        <is>
          <t>AKS zone headroom of 1.5 and one surge node: this design (runbook Section 4.6).</t>
        </is>
      </c>
    </row>
    <row r="12">
      <c r="A12" s="2" t="inlineStr">
        <is>
          <t>Okta rate limits: enter your org's token endpoint limit from the Okta Admin Console (R52).</t>
        </is>
      </c>
    </row>
    <row r="13">
      <c r="A13" s="2" t="inlineStr"/>
    </row>
    <row r="14">
      <c r="A14" s="3" t="inlineStr">
        <is>
          <t>Recheck the constants against the vendor pages before each use; vendors change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4" t="inlineStr">
        <is>
          <t>Confluent Cloud capacity units per cluster</t>
        </is>
      </c>
      <c r="B1" s="4" t="inlineStr">
        <is>
          <t>NP1</t>
        </is>
      </c>
      <c r="C1" s="4" t="inlineStr">
        <is>
          <t>NP2</t>
        </is>
      </c>
      <c r="D1" s="4" t="inlineStr">
        <is>
          <t>PROD</t>
        </is>
      </c>
      <c r="E1" s="4" t="inlineStr">
        <is>
          <t>Notes</t>
        </is>
      </c>
    </row>
    <row r="2">
      <c r="A2" s="5" t="inlineStr">
        <is>
          <t>Cluster type (Enterprise or Dedicated)</t>
        </is>
      </c>
      <c r="B2" s="6" t="inlineStr">
        <is>
          <t>Enterprise</t>
        </is>
      </c>
      <c r="C2" s="6" t="inlineStr">
        <is>
          <t>Enterprise</t>
        </is>
      </c>
      <c r="D2" s="6" t="inlineStr">
        <is>
          <t>Enterprise</t>
        </is>
      </c>
      <c r="E2" s="7" t="inlineStr">
        <is>
          <t>Per OD-02</t>
        </is>
      </c>
    </row>
    <row r="3">
      <c r="A3" s="5" t="inlineStr">
        <is>
          <t>Peak ingress, MBps</t>
        </is>
      </c>
      <c r="B3" s="6" t="n">
        <v>6</v>
      </c>
      <c r="C3" s="6" t="n">
        <v>10</v>
      </c>
      <c r="D3" s="6" t="n">
        <v>8</v>
      </c>
      <c r="E3" s="7" t="inlineStr">
        <is>
          <t>Metrics API, PERF peak, summed over the group</t>
        </is>
      </c>
    </row>
    <row r="4">
      <c r="A4" s="5" t="inlineStr">
        <is>
          <t>Peak egress, MBps</t>
        </is>
      </c>
      <c r="B4" s="6" t="n">
        <v>18</v>
      </c>
      <c r="C4" s="6" t="n">
        <v>30</v>
      </c>
      <c r="D4" s="6" t="n">
        <v>24</v>
      </c>
      <c r="E4" s="7" t="inlineStr">
        <is>
          <t>Metrics API</t>
        </is>
      </c>
    </row>
    <row r="5">
      <c r="A5" s="5" t="inlineStr">
        <is>
          <t>Measured partitions (sum over the group)</t>
        </is>
      </c>
      <c r="B5" s="6" t="n">
        <v>2700</v>
      </c>
      <c r="C5" s="6" t="n">
        <v>1800</v>
      </c>
      <c r="D5" s="6" t="n">
        <v>900</v>
      </c>
      <c r="E5" s="7" t="inlineStr">
        <is>
          <t>K-5 after first start; default 6 per topic</t>
        </is>
      </c>
    </row>
    <row r="6">
      <c r="A6" s="5" t="inlineStr">
        <is>
          <t>Partition headroom</t>
        </is>
      </c>
      <c r="B6" s="6" t="n">
        <v>0.3</v>
      </c>
      <c r="C6" s="6" t="n">
        <v>0.3</v>
      </c>
      <c r="D6" s="6" t="n">
        <v>0.3</v>
      </c>
      <c r="E6" s="7" t="inlineStr">
        <is>
          <t>30 % suggested</t>
        </is>
      </c>
    </row>
    <row r="7">
      <c r="A7" s="5" t="inlineStr">
        <is>
          <t>Peak client connections</t>
        </is>
      </c>
      <c r="B7" s="6" t="n">
        <v>2400</v>
      </c>
      <c r="C7" s="6" t="n">
        <v>3600</v>
      </c>
      <c r="D7" s="6" t="n">
        <v>1800</v>
      </c>
      <c r="E7" s="7" t="inlineStr">
        <is>
          <t>Metrics API; include a rolling restart</t>
        </is>
      </c>
    </row>
    <row r="8">
      <c r="A8" s="5" t="inlineStr">
        <is>
          <t>Peak requests per second</t>
        </is>
      </c>
      <c r="B8" s="6" t="n">
        <v>2500</v>
      </c>
      <c r="C8" s="6" t="n">
        <v>6000</v>
      </c>
      <c r="D8" s="6" t="n">
        <v>3000</v>
      </c>
      <c r="E8" s="7" t="inlineStr">
        <is>
          <t>Metrics API</t>
        </is>
      </c>
    </row>
    <row r="10">
      <c r="A10" s="5" t="inlineStr">
        <is>
          <t>Per-unit limits [R31]</t>
        </is>
      </c>
    </row>
    <row r="11">
      <c r="A11" t="inlineStr">
        <is>
          <t>Ingress MBps per unit</t>
        </is>
      </c>
      <c r="B11" s="8">
        <f>IF(B$2="Dedicated",60,60)</f>
        <v/>
      </c>
      <c r="C11" s="8">
        <f>IF(C$2="Dedicated",60,60)</f>
        <v/>
      </c>
      <c r="D11" s="8">
        <f>IF(D$2="Dedicated",60,60)</f>
        <v/>
      </c>
    </row>
    <row r="12">
      <c r="A12" t="inlineStr">
        <is>
          <t>Egress MBps per unit</t>
        </is>
      </c>
      <c r="B12" s="8">
        <f>IF(B$2="Dedicated",180,180)</f>
        <v/>
      </c>
      <c r="C12" s="8">
        <f>IF(C$2="Dedicated",180,180)</f>
        <v/>
      </c>
      <c r="D12" s="8">
        <f>IF(D$2="Dedicated",180,180)</f>
        <v/>
      </c>
    </row>
    <row r="13">
      <c r="A13" t="inlineStr">
        <is>
          <t>Partitions per unit</t>
        </is>
      </c>
      <c r="B13" s="8">
        <f>IF(B$2="Dedicated",4500,3000)</f>
        <v/>
      </c>
      <c r="C13" s="8">
        <f>IF(C$2="Dedicated",4500,3000)</f>
        <v/>
      </c>
      <c r="D13" s="8">
        <f>IF(D$2="Dedicated",4500,3000)</f>
        <v/>
      </c>
    </row>
    <row r="14">
      <c r="A14" t="inlineStr">
        <is>
          <t>Connections per unit</t>
        </is>
      </c>
      <c r="B14" s="8">
        <f>IF(B$2="Dedicated",18000,18000)</f>
        <v/>
      </c>
      <c r="C14" s="8">
        <f>IF(C$2="Dedicated",18000,18000)</f>
        <v/>
      </c>
      <c r="D14" s="8">
        <f>IF(D$2="Dedicated",18000,18000)</f>
        <v/>
      </c>
    </row>
    <row r="15">
      <c r="A15" t="inlineStr">
        <is>
          <t>Requests per second per unit</t>
        </is>
      </c>
      <c r="B15" s="8">
        <f>IF(B$2="Dedicated",15000,7500)</f>
        <v/>
      </c>
      <c r="C15" s="8">
        <f>IF(C$2="Dedicated",15000,7500)</f>
        <v/>
      </c>
      <c r="D15" s="8">
        <f>IF(D$2="Dedicated",15000,7500)</f>
        <v/>
      </c>
    </row>
    <row r="17">
      <c r="A17" s="5" t="inlineStr">
        <is>
          <t>Units needed by each limit</t>
        </is>
      </c>
    </row>
    <row r="18">
      <c r="A18" t="inlineStr">
        <is>
          <t>By ingress</t>
        </is>
      </c>
      <c r="B18" s="8">
        <f>ROUNDUP(B3/B11,0)</f>
        <v/>
      </c>
      <c r="C18" s="8">
        <f>ROUNDUP(C3/C11,0)</f>
        <v/>
      </c>
      <c r="D18" s="8">
        <f>ROUNDUP(D3/D11,0)</f>
        <v/>
      </c>
    </row>
    <row r="19">
      <c r="A19" t="inlineStr">
        <is>
          <t>By egress</t>
        </is>
      </c>
      <c r="B19" s="8">
        <f>ROUNDUP(B4/B12,0)</f>
        <v/>
      </c>
      <c r="C19" s="8">
        <f>ROUNDUP(C4/C12,0)</f>
        <v/>
      </c>
      <c r="D19" s="8">
        <f>ROUNDUP(D4/D12,0)</f>
        <v/>
      </c>
    </row>
    <row r="20">
      <c r="A20" t="inlineStr">
        <is>
          <t>Planned partitions</t>
        </is>
      </c>
      <c r="B20" s="8">
        <f>ROUNDUP(B5*(1+B6),0)</f>
        <v/>
      </c>
      <c r="C20" s="8">
        <f>ROUNDUP(C5*(1+C6),0)</f>
        <v/>
      </c>
      <c r="D20" s="8">
        <f>ROUNDUP(D5*(1+D6),0)</f>
        <v/>
      </c>
    </row>
    <row r="21">
      <c r="A21" t="inlineStr">
        <is>
          <t>By partitions</t>
        </is>
      </c>
      <c r="B21" s="8">
        <f>ROUNDUP(B20/B13,0)</f>
        <v/>
      </c>
      <c r="C21" s="8">
        <f>ROUNDUP(C20/C13,0)</f>
        <v/>
      </c>
      <c r="D21" s="8">
        <f>ROUNDUP(D20/D13,0)</f>
        <v/>
      </c>
    </row>
    <row r="22">
      <c r="A22" t="inlineStr">
        <is>
          <t>By connections</t>
        </is>
      </c>
      <c r="B22" s="8">
        <f>ROUNDUP(B7/B14,0)</f>
        <v/>
      </c>
      <c r="C22" s="8">
        <f>ROUNDUP(C7/C14,0)</f>
        <v/>
      </c>
      <c r="D22" s="8">
        <f>ROUNDUP(D7/D14,0)</f>
        <v/>
      </c>
    </row>
    <row r="23">
      <c r="A23" t="inlineStr">
        <is>
          <t>By requests</t>
        </is>
      </c>
      <c r="B23" s="8">
        <f>ROUNDUP(B8/B15,0)</f>
        <v/>
      </c>
      <c r="C23" s="8">
        <f>ROUNDUP(C8/C15,0)</f>
        <v/>
      </c>
      <c r="D23" s="8">
        <f>ROUNDUP(D8/D15,0)</f>
        <v/>
      </c>
    </row>
    <row r="24">
      <c r="A24" t="inlineStr">
        <is>
          <t>SLA minimum</t>
        </is>
      </c>
      <c r="B24" s="8">
        <f>2</f>
        <v/>
      </c>
      <c r="C24" s="8">
        <f>2</f>
        <v/>
      </c>
      <c r="D24" s="8">
        <f>2</f>
        <v/>
      </c>
    </row>
    <row r="26">
      <c r="A26" s="5" t="inlineStr">
        <is>
          <t>Capacity units (eCKU or CKU)</t>
        </is>
      </c>
      <c r="B26" s="9">
        <f>MAX(B18,B19,B21,B22,B23,B24)</f>
        <v/>
      </c>
      <c r="C26" s="9">
        <f>MAX(C18,C19,C21,C22,C23,C24)</f>
        <v/>
      </c>
      <c r="D26" s="9">
        <f>MAX(D18,D19,D21,D22,D23,D24)</f>
        <v/>
      </c>
    </row>
    <row r="27">
      <c r="A27" s="5" t="inlineStr">
        <is>
          <t>Set by</t>
        </is>
      </c>
      <c r="B27" s="8">
        <f>IF(B26=B24,"SLA minimum",IF(B26=B23,"requests",IF(B26=B22,"connections",IF(B26=B21,"partitions",IF(B26=B19,"egress","ingress")))))</f>
        <v/>
      </c>
      <c r="C27" s="8">
        <f>IF(C26=C24,"SLA minimum",IF(C26=C23,"requests",IF(C26=C22,"connections",IF(C26=C21,"partitions",IF(C26=C19,"egress","ingress")))))</f>
        <v/>
      </c>
      <c r="D27" s="8">
        <f>IF(D26=D24,"SLA minimum",IF(D26=D23,"requests",IF(D26=D22,"connections",IF(D26=D21,"partitions",IF(D26=D19,"egress","ingress")))))</f>
        <v/>
      </c>
    </row>
    <row r="28">
      <c r="A28" s="5" t="inlineStr">
        <is>
          <t>Check</t>
        </is>
      </c>
      <c r="B28" s="10">
        <f>IF(AND(B2="Enterprise",B26&gt;32),"Above 32 eCKU: Private Link limit on Azure",IF(AND(B2="Enterprise",B26&gt;10),"Above 10 eCKU: slower scaling; set minimum before peaks","OK"))</f>
        <v/>
      </c>
      <c r="C28" s="10">
        <f>IF(AND(C2="Enterprise",C26&gt;32),"Above 32 eCKU: Private Link limit on Azure",IF(AND(C2="Enterprise",C26&gt;10),"Above 10 eCKU: slower scaling; set minimum before peaks","OK"))</f>
        <v/>
      </c>
      <c r="D28" s="10">
        <f>IF(AND(D2="Enterprise",D26&gt;32),"Above 32 eCKU: Private Link limit on Azure",IF(AND(D2="Enterprise",D26&gt;10),"Above 10 eCKU: slower scaling; set minimum before peaks","OK"))</f>
        <v/>
      </c>
    </row>
  </sheetData>
  <dataValidations count="1">
    <dataValidation sqref="B2 C2 D2" showDropDown="0" showInputMessage="0" showErrorMessage="0" allowBlank="0" type="list">
      <formula1>"Enterprise,Dedicated"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4" t="inlineStr">
        <is>
          <t>OpenSearch storage and data nodes per service</t>
        </is>
      </c>
      <c r="B1" s="4" t="inlineStr">
        <is>
          <t>os-np1</t>
        </is>
      </c>
      <c r="C1" s="4" t="inlineStr">
        <is>
          <t>os-np2</t>
        </is>
      </c>
      <c r="D1" s="4" t="inlineStr">
        <is>
          <t>os-prd</t>
        </is>
      </c>
      <c r="E1" s="4" t="inlineStr">
        <is>
          <t>Notes</t>
        </is>
      </c>
    </row>
    <row r="2">
      <c r="A2" s="5" t="inlineStr">
        <is>
          <t>Primary data, GiB</t>
        </is>
      </c>
      <c r="B2" s="6" t="n">
        <v>30</v>
      </c>
      <c r="C2" s="6" t="n">
        <v>80</v>
      </c>
      <c r="D2" s="6" t="n">
        <v>40</v>
      </c>
      <c r="E2" s="7" t="inlineStr">
        <is>
          <t>Sum of pri.store.size after a full build (S-4), all environments on the service</t>
        </is>
      </c>
    </row>
    <row r="3">
      <c r="A3" s="5" t="inlineStr">
        <is>
          <t>Replicas</t>
        </is>
      </c>
      <c r="B3" s="6" t="n">
        <v>1</v>
      </c>
      <c r="C3" s="6" t="n">
        <v>1</v>
      </c>
      <c r="D3" s="6" t="n">
        <v>1</v>
      </c>
      <c r="E3" s="7" t="inlineStr">
        <is>
          <t>At least 1</t>
        </is>
      </c>
    </row>
    <row r="4">
      <c r="A4" s="5" t="inlineStr">
        <is>
          <t>Yearly growth</t>
        </is>
      </c>
      <c r="B4" s="6" t="n">
        <v>0.2</v>
      </c>
      <c r="C4" s="6" t="n">
        <v>0.2</v>
      </c>
      <c r="D4" s="6" t="n">
        <v>0.2</v>
      </c>
      <c r="E4" s="7" t="inlineStr">
        <is>
          <t>From the workload model</t>
        </is>
      </c>
    </row>
    <row r="5">
      <c r="A5" s="5" t="inlineStr">
        <is>
          <t>Years planned</t>
        </is>
      </c>
      <c r="B5" s="6" t="n">
        <v>3</v>
      </c>
      <c r="C5" s="6" t="n">
        <v>3</v>
      </c>
      <c r="D5" s="6" t="n">
        <v>3</v>
      </c>
      <c r="E5" s="7" t="inlineStr"/>
    </row>
    <row r="6">
      <c r="A6" s="5" t="inlineStr">
        <is>
          <t>Extra peak during a full rebuild, GiB</t>
        </is>
      </c>
      <c r="B6" s="6" t="n">
        <v>0</v>
      </c>
      <c r="C6" s="6" t="n">
        <v>0</v>
      </c>
      <c r="D6" s="6" t="n">
        <v>0</v>
      </c>
      <c r="E6" s="7" t="inlineStr">
        <is>
          <t>Measured in DEV; 0 if none</t>
        </is>
      </c>
    </row>
    <row r="7">
      <c r="A7" s="5" t="inlineStr">
        <is>
          <t>Number of indexes</t>
        </is>
      </c>
      <c r="B7" s="6" t="n">
        <v>180</v>
      </c>
      <c r="C7" s="6" t="n">
        <v>120</v>
      </c>
      <c r="D7" s="6" t="n">
        <v>60</v>
      </c>
      <c r="E7" s="7" t="inlineStr">
        <is>
          <t>_cat/indices, all environments on the service</t>
        </is>
      </c>
    </row>
    <row r="8">
      <c r="A8" s="5" t="inlineStr">
        <is>
          <t>Primary shards per index</t>
        </is>
      </c>
      <c r="B8" s="6" t="n">
        <v>1</v>
      </c>
      <c r="C8" s="6" t="n">
        <v>1</v>
      </c>
      <c r="D8" s="6" t="n">
        <v>1</v>
      </c>
      <c r="E8" s="7" t="inlineStr">
        <is>
          <t>Set by SRS; read from _cat/indices</t>
        </is>
      </c>
    </row>
    <row r="9">
      <c r="A9" s="5" t="inlineStr">
        <is>
          <t>Usable disk per data node, GiB</t>
        </is>
      </c>
      <c r="B9" s="6" t="n">
        <v>100</v>
      </c>
      <c r="C9" s="6" t="n">
        <v>100</v>
      </c>
      <c r="D9" s="6" t="n">
        <v>100</v>
      </c>
      <c r="E9" s="7" t="inlineStr">
        <is>
          <t>Provider plan</t>
        </is>
      </c>
    </row>
    <row r="10">
      <c r="A10" s="5" t="inlineStr">
        <is>
          <t>JVM heap per data node, GiB</t>
        </is>
      </c>
      <c r="B10" s="6" t="n">
        <v>8</v>
      </c>
      <c r="C10" s="6" t="n">
        <v>8</v>
      </c>
      <c r="D10" s="6" t="n">
        <v>8</v>
      </c>
      <c r="E10" s="7" t="inlineStr">
        <is>
          <t>Usually half the node memory</t>
        </is>
      </c>
    </row>
    <row r="12">
      <c r="A12" s="11" t="inlineStr">
        <is>
          <t>Storage needed, GiB</t>
        </is>
      </c>
      <c r="B12" s="8">
        <f>ROUND(B2*(1+B3)*1.45*(1+B4)^B5+B6,1)</f>
        <v/>
      </c>
      <c r="C12" s="8">
        <f>ROUND(C2*(1+C3)*1.45*(1+C4)^C5+C6,1)</f>
        <v/>
      </c>
      <c r="D12" s="8">
        <f>ROUND(D2*(1+D3)*1.45*(1+D4)^D5+D6,1)</f>
        <v/>
      </c>
      <c r="E12" s="7" t="inlineStr">
        <is>
          <t>x 1.45 [R54]</t>
        </is>
      </c>
    </row>
    <row r="13">
      <c r="A13" s="11" t="inlineStr">
        <is>
          <t>Total shards</t>
        </is>
      </c>
      <c r="B13" s="8">
        <f>B7*B8*(1+B3)</f>
        <v/>
      </c>
      <c r="C13" s="8">
        <f>C7*C8*(1+C3)</f>
        <v/>
      </c>
      <c r="D13" s="8">
        <f>D7*D8*(1+D3)</f>
        <v/>
      </c>
      <c r="E13" s="7" t="inlineStr"/>
    </row>
    <row r="14">
      <c r="A14" s="11" t="inlineStr">
        <is>
          <t>Data nodes by storage</t>
        </is>
      </c>
      <c r="B14" s="8">
        <f>ROUNDUP(B12/B9,0)</f>
        <v/>
      </c>
      <c r="C14" s="8">
        <f>ROUNDUP(C12/C9,0)</f>
        <v/>
      </c>
      <c r="D14" s="8">
        <f>ROUNDUP(D12/D9,0)</f>
        <v/>
      </c>
      <c r="E14" s="7" t="inlineStr"/>
    </row>
    <row r="15">
      <c r="A15" s="11" t="inlineStr">
        <is>
          <t>Data nodes by shards</t>
        </is>
      </c>
      <c r="B15" s="8">
        <f>ROUNDUP(B13/(25*B10),0)</f>
        <v/>
      </c>
      <c r="C15" s="8">
        <f>ROUNDUP(C13/(25*C10),0)</f>
        <v/>
      </c>
      <c r="D15" s="8">
        <f>ROUNDUP(D13/(25*D10),0)</f>
        <v/>
      </c>
      <c r="E15" s="7" t="inlineStr">
        <is>
          <t>25 shards per GiB heap [R55]</t>
        </is>
      </c>
    </row>
    <row r="16">
      <c r="A16" s="5" t="inlineStr">
        <is>
          <t>Data nodes (multiple of 3 zones)</t>
        </is>
      </c>
      <c r="B16" s="8">
        <f>CEILING(MAX(B14,B15,3),3)</f>
        <v/>
      </c>
      <c r="C16" s="8">
        <f>CEILING(MAX(C14,C15,3),3)</f>
        <v/>
      </c>
      <c r="D16" s="8">
        <f>CEILING(MAX(D14,D15,3),3)</f>
        <v/>
      </c>
      <c r="E16" s="7" t="inlineStr"/>
    </row>
    <row r="17">
      <c r="A17" s="11" t="inlineStr">
        <is>
          <t>Average primary shard size, GiB</t>
        </is>
      </c>
      <c r="B17" s="8">
        <f>ROUND(B2/(B7*B8),2)</f>
        <v/>
      </c>
      <c r="C17" s="8">
        <f>ROUND(C2/(C7*C8),2)</f>
        <v/>
      </c>
      <c r="D17" s="8">
        <f>ROUND(D2/(D7*D8),2)</f>
        <v/>
      </c>
      <c r="E17" s="7" t="inlineStr">
        <is>
          <t>Search workloads: 10 to 30 GiB [R55]; many small Pega indexes fall below this, which is expected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60" customWidth="1" min="3" max="3"/>
  </cols>
  <sheetData>
    <row r="1">
      <c r="A1" s="4" t="inlineStr">
        <is>
          <t>AKS nodes for the Pega node pool</t>
        </is>
      </c>
      <c r="B1" s="4" t="inlineStr">
        <is>
          <t>PROD Pega pool</t>
        </is>
      </c>
      <c r="C1" s="4" t="inlineStr">
        <is>
          <t>Notes</t>
        </is>
      </c>
    </row>
    <row r="2">
      <c r="A2" s="5" t="inlineStr">
        <is>
          <t>Pega pods at HPA maximum (web + batch)</t>
        </is>
      </c>
      <c r="B2" s="6" t="n">
        <v>12</v>
      </c>
      <c r="C2" s="7" t="inlineStr">
        <is>
          <t>Sum of tier HPA maximums</t>
        </is>
      </c>
    </row>
    <row r="3">
      <c r="A3" s="5" t="inlineStr">
        <is>
          <t>CPU request per pod</t>
        </is>
      </c>
      <c r="B3" s="6" t="n">
        <v>3</v>
      </c>
      <c r="C3" s="7" t="inlineStr">
        <is>
          <t>Chart default 3</t>
        </is>
      </c>
    </row>
    <row r="4">
      <c r="A4" s="5" t="inlineStr">
        <is>
          <t>Memory request per pod, GiB</t>
        </is>
      </c>
      <c r="B4" s="6" t="n">
        <v>12</v>
      </c>
      <c r="C4" s="7" t="inlineStr">
        <is>
          <t>Chart default 12Gi</t>
        </is>
      </c>
    </row>
    <row r="5">
      <c r="A5" s="5" t="inlineStr">
        <is>
          <t>Allocatable CPU per node</t>
        </is>
      </c>
      <c r="B5" s="6" t="n">
        <v>15</v>
      </c>
      <c r="C5" s="7" t="inlineStr">
        <is>
          <t>kubectl describe node; after system reservations</t>
        </is>
      </c>
    </row>
    <row r="6">
      <c r="A6" s="5" t="inlineStr">
        <is>
          <t>Allocatable memory per node, GiB</t>
        </is>
      </c>
      <c r="B6" s="6" t="n">
        <v>58</v>
      </c>
      <c r="C6" s="7" t="inlineStr">
        <is>
          <t>kubectl describe node</t>
        </is>
      </c>
    </row>
    <row r="8">
      <c r="A8" s="11" t="inlineStr">
        <is>
          <t>Pega pods per node</t>
        </is>
      </c>
      <c r="B8" s="8">
        <f>MIN(ROUNDDOWN(B5/B3,0),ROUNDDOWN(B6/B4,0))</f>
        <v/>
      </c>
      <c r="C8" s="7" t="inlineStr"/>
    </row>
    <row r="9">
      <c r="A9" s="11" t="inlineStr">
        <is>
          <t>Nodes for the load</t>
        </is>
      </c>
      <c r="B9" s="8">
        <f>ROUNDUP(B2/B8,0)</f>
        <v/>
      </c>
      <c r="C9" s="7" t="inlineStr"/>
    </row>
    <row r="10">
      <c r="A10" s="5" t="inlineStr">
        <is>
          <t>Nodes with zone headroom and surge</t>
        </is>
      </c>
      <c r="B10" s="8">
        <f>CEILING(ROUNDUP(B9*1.5,0)+1,3)</f>
        <v/>
      </c>
      <c r="C10" s="7" t="inlineStr">
        <is>
          <t>x 1.5 so two zones carry the peak; +1 surge node; multiple of 3</t>
        </is>
      </c>
    </row>
    <row r="12">
      <c r="A12" s="12" t="inlineStr">
        <is>
          <t>SRS pods and system pods are not included. Place them on another pool or add their requests.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4" customWidth="1" min="3" max="3"/>
    <col width="26" customWidth="1" min="4" max="4"/>
  </cols>
  <sheetData>
    <row r="1">
      <c r="A1" s="4" t="inlineStr">
        <is>
          <t>Environment</t>
        </is>
      </c>
      <c r="B1" s="4" t="inlineStr">
        <is>
          <t>Pega pods</t>
        </is>
      </c>
      <c r="C1" s="4" t="inlineStr">
        <is>
          <t>Token requests per pod per hour (measured)</t>
        </is>
      </c>
      <c r="D1" s="4" t="inlineStr">
        <is>
          <t>Token requests per minute</t>
        </is>
      </c>
    </row>
    <row r="2">
      <c r="A2" t="inlineStr">
        <is>
          <t>DEV</t>
        </is>
      </c>
      <c r="B2" s="6" t="n">
        <v>4</v>
      </c>
      <c r="C2" s="6" t="n">
        <v>12</v>
      </c>
      <c r="D2" s="8">
        <f>ROUND(B2*C2/60,2)</f>
        <v/>
      </c>
    </row>
    <row r="3">
      <c r="A3" t="inlineStr">
        <is>
          <t>SIT</t>
        </is>
      </c>
      <c r="B3" s="6" t="n">
        <v>4</v>
      </c>
      <c r="C3" s="6" t="n">
        <v>12</v>
      </c>
      <c r="D3" s="8">
        <f>ROUND(B3*C3/60,2)</f>
        <v/>
      </c>
    </row>
    <row r="4">
      <c r="A4" t="inlineStr">
        <is>
          <t>UAT</t>
        </is>
      </c>
      <c r="B4" s="6" t="n">
        <v>5</v>
      </c>
      <c r="C4" s="6" t="n">
        <v>12</v>
      </c>
      <c r="D4" s="8">
        <f>ROUND(B4*C4/60,2)</f>
        <v/>
      </c>
    </row>
    <row r="5">
      <c r="A5" t="inlineStr">
        <is>
          <t>PERF</t>
        </is>
      </c>
      <c r="B5" s="6" t="n">
        <v>12</v>
      </c>
      <c r="C5" s="6" t="n">
        <v>12</v>
      </c>
      <c r="D5" s="8">
        <f>ROUND(B5*C5/60,2)</f>
        <v/>
      </c>
    </row>
    <row r="6">
      <c r="A6" t="inlineStr">
        <is>
          <t>PREPROD</t>
        </is>
      </c>
      <c r="B6" s="6" t="n">
        <v>12</v>
      </c>
      <c r="C6" s="6" t="n">
        <v>12</v>
      </c>
      <c r="D6" s="8">
        <f>ROUND(B6*C6/60,2)</f>
        <v/>
      </c>
    </row>
    <row r="7">
      <c r="A7" t="inlineStr">
        <is>
          <t>PROD</t>
        </is>
      </c>
      <c r="B7" s="6" t="n">
        <v>12</v>
      </c>
      <c r="C7" s="6" t="n">
        <v>12</v>
      </c>
      <c r="D7" s="8">
        <f>ROUND(B7*C7/60,2)</f>
        <v/>
      </c>
    </row>
    <row r="8">
      <c r="A8" s="5" t="inlineStr">
        <is>
          <t>Total, all environments</t>
        </is>
      </c>
      <c r="D8" s="8">
        <f>SUM(D2:D7)</f>
        <v/>
      </c>
    </row>
    <row r="9">
      <c r="A9" s="5" t="inlineStr">
        <is>
          <t>Org token endpoint limit per minute</t>
        </is>
      </c>
      <c r="D9" s="6" t="n"/>
      <c r="E9" t="inlineStr">
        <is>
          <t>Enter the value shown in the Okta Admin Console for your org [R52]</t>
        </is>
      </c>
    </row>
    <row r="10">
      <c r="A10" s="5" t="inlineStr">
        <is>
          <t>Share of the limit used by Pega</t>
        </is>
      </c>
      <c r="D10" s="8">
        <f>IF(D9="","enter limit",D8/D9)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2026-10-02T05:11:23Z</dcterms:created>
  <dcterms:modified xmlns:dcterms="http://purl.org/dc/terms/" xmlns:xsi="http://www.w3.org/2001/XMLSchema-instance" xsi:type="dcterms:W3CDTF">2026-10-02T05:11:23Z</dcterms:modified>
</cp:coreProperties>
</file>